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ka\Documents\data science\"/>
    </mc:Choice>
  </mc:AlternateContent>
  <xr:revisionPtr revIDLastSave="0" documentId="8_{1B326F85-AAD9-4518-970D-7BC7349647C3}" xr6:coauthVersionLast="47" xr6:coauthVersionMax="47" xr10:uidLastSave="{00000000-0000-0000-0000-000000000000}"/>
  <bookViews>
    <workbookView xWindow="-108" yWindow="-108" windowWidth="23256" windowHeight="12456" xr2:uid="{0C77C1F1-67B6-4809-8EC0-B6FEE96AAC0F}"/>
  </bookViews>
  <sheets>
    <sheet name="Sheet1" sheetId="1" r:id="rId1"/>
  </sheets>
  <calcPr calcId="191029"/>
  <pivotCaches>
    <pivotCache cacheId="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56" i="1" l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X56" i="1" s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X55" i="1" s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X54" i="1" s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X53" i="1" s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X52" i="1" s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X51" i="1" s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X50" i="1" s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X49" i="1" s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X48" i="1" s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X47" i="1" s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X46" i="1" s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X45" i="1" s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X44" i="1" s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X43" i="1" s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X42" i="1" s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X41" i="1" s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X40" i="1" s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X39" i="1" s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X38" i="1" s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X37" i="1" s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X36" i="1" s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X35" i="1" s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X34" i="1" s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X33" i="1" s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X32" i="1" s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X31" i="1" s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X30" i="1" s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X29" i="1" s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X28" i="1" s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X27" i="1" s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X26" i="1" s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X25" i="1" s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X24" i="1" s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X23" i="1" s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X22" i="1" s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X21" i="1" s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X20" i="1" s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X19" i="1" s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X18" i="1" s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X17" i="1" s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X16" i="1" s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X15" i="1" s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X14" i="1" s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X13" i="1" s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X12" i="1" s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X11" i="1" s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X10" i="1" s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X9" i="1" s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X8" i="1" s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X7" i="1" s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X6" i="1" s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X5" i="1" s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X4" i="1" s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X3" i="1" s="1"/>
</calcChain>
</file>

<file path=xl/sharedStrings.xml><?xml version="1.0" encoding="utf-8"?>
<sst xmlns="http://schemas.openxmlformats.org/spreadsheetml/2006/main" count="136" uniqueCount="128">
  <si>
    <t>Name</t>
  </si>
  <si>
    <t>Comments</t>
  </si>
  <si>
    <t>amazing</t>
  </si>
  <si>
    <t>nice</t>
  </si>
  <si>
    <t>like</t>
  </si>
  <si>
    <t>very</t>
  </si>
  <si>
    <t>excellent</t>
  </si>
  <si>
    <t>awesome</t>
  </si>
  <si>
    <t>love</t>
  </si>
  <si>
    <t>good</t>
  </si>
  <si>
    <t>favourite</t>
  </si>
  <si>
    <t>usefull</t>
  </si>
  <si>
    <t>satisfied</t>
  </si>
  <si>
    <t>best</t>
  </si>
  <si>
    <t>gud</t>
  </si>
  <si>
    <t>bad</t>
  </si>
  <si>
    <t>waste</t>
  </si>
  <si>
    <t>worst</t>
  </si>
  <si>
    <t>terrible</t>
  </si>
  <si>
    <t>nasty</t>
  </si>
  <si>
    <t>second class</t>
  </si>
  <si>
    <t>positive/negative/neutral</t>
  </si>
  <si>
    <t>SHILPA SHETTI</t>
  </si>
  <si>
    <t>Best product. Amazing results</t>
  </si>
  <si>
    <t>POOJITHA</t>
  </si>
  <si>
    <t>Nice</t>
  </si>
  <si>
    <t>THRISHA</t>
  </si>
  <si>
    <t>I like this product.</t>
  </si>
  <si>
    <t>KAVITHA</t>
  </si>
  <si>
    <t>Amazing best product</t>
  </si>
  <si>
    <t>MANGAMMA</t>
  </si>
  <si>
    <t>Amazing product</t>
  </si>
  <si>
    <t>ARCHANA</t>
  </si>
  <si>
    <t>Very nice &amp; effective product</t>
  </si>
  <si>
    <t>JYOTHI</t>
  </si>
  <si>
    <t>Very Nice Product It removes all the black marks but it takes time</t>
  </si>
  <si>
    <t>SAMANTHA</t>
  </si>
  <si>
    <t>Very effective product</t>
  </si>
  <si>
    <t>ANUSHKA</t>
  </si>
  <si>
    <t xml:space="preserve">Excellent Product!One of The Best Product i ever seen! </t>
  </si>
  <si>
    <t>Row Labels</t>
  </si>
  <si>
    <t>KEERTHI SURESH</t>
  </si>
  <si>
    <t>SNEHA</t>
  </si>
  <si>
    <t>Very nice product</t>
  </si>
  <si>
    <t>KALYANI</t>
  </si>
  <si>
    <t>Very effective, love the fragrance</t>
  </si>
  <si>
    <t>Grand Total</t>
  </si>
  <si>
    <t>NIVEDITHA</t>
  </si>
  <si>
    <t>This is my second order such a excellent product</t>
  </si>
  <si>
    <t>PRIYANKA</t>
  </si>
  <si>
    <t>Excellent</t>
  </si>
  <si>
    <t>GAYATHRI</t>
  </si>
  <si>
    <t>Results are excellent !</t>
  </si>
  <si>
    <t>SANA</t>
  </si>
  <si>
    <t>Really awesome product 1 month I can use really awesome resultt tqq..</t>
  </si>
  <si>
    <t>MANJULA</t>
  </si>
  <si>
    <t>Nice product</t>
  </si>
  <si>
    <t>LAVANYA</t>
  </si>
  <si>
    <r>
      <t xml:space="preserve">It's really works, I love it </t>
    </r>
    <r>
      <rPr>
        <i/>
        <sz val="11"/>
        <color theme="1"/>
        <rFont val="Times New Roman"/>
        <family val="1"/>
      </rPr>
      <t>❤</t>
    </r>
    <r>
      <rPr>
        <i/>
        <sz val="11"/>
        <color theme="1"/>
        <rFont val="Lato"/>
        <charset val="134"/>
      </rPr>
      <t>️</t>
    </r>
  </si>
  <si>
    <t>LAHARI</t>
  </si>
  <si>
    <t>Awesome</t>
  </si>
  <si>
    <t>NAVYA</t>
  </si>
  <si>
    <t>It's very nice product bye bye blemishes</t>
  </si>
  <si>
    <t>ESHWARI</t>
  </si>
  <si>
    <t>Good product for Acne...works like magic</t>
  </si>
  <si>
    <t>PAVANI</t>
  </si>
  <si>
    <t>NANDINI</t>
  </si>
  <si>
    <t>SHRAVANI</t>
  </si>
  <si>
    <t>The products are really workable . I used this , loves the products</t>
  </si>
  <si>
    <t>YAMUNA</t>
  </si>
  <si>
    <t>KUMARI</t>
  </si>
  <si>
    <t>Awesome product</t>
  </si>
  <si>
    <t>HARIKA</t>
  </si>
  <si>
    <t xml:space="preserve">Loved the results!! Great for pigmentation . </t>
  </si>
  <si>
    <t>KARUNA</t>
  </si>
  <si>
    <t>Best product</t>
  </si>
  <si>
    <t>KUSUMA</t>
  </si>
  <si>
    <t>Gud</t>
  </si>
  <si>
    <t>SOWMYA</t>
  </si>
  <si>
    <t>It really works gud and gives fine look to skin</t>
  </si>
  <si>
    <t>ANUSHA</t>
  </si>
  <si>
    <t>The pigmentation cream product is good and mild for sensitive skin. But the amout is really less I mean it's only 30 ml a very small bottle .</t>
  </si>
  <si>
    <t>SWATHI</t>
  </si>
  <si>
    <t>SUMA</t>
  </si>
  <si>
    <t>Best Ever Product .</t>
  </si>
  <si>
    <t>NAINA</t>
  </si>
  <si>
    <t>Amazing cream... works great.. no side effects... no itching....finally found the solution to my acne n pimple problem...</t>
  </si>
  <si>
    <t>RAINA</t>
  </si>
  <si>
    <t xml:space="preserve">This product has been really usefull </t>
  </si>
  <si>
    <t>NIANA</t>
  </si>
  <si>
    <t>Awesome results..loving it</t>
  </si>
  <si>
    <t>LOOSI</t>
  </si>
  <si>
    <t>it is too best for pegmentation</t>
  </si>
  <si>
    <t>KAVYA</t>
  </si>
  <si>
    <t>Result was good. My face was glowing. Iam happy with this Cream.</t>
  </si>
  <si>
    <t>LASYA</t>
  </si>
  <si>
    <t>Good product and very effective.</t>
  </si>
  <si>
    <t>SUMANJALI</t>
  </si>
  <si>
    <t>Yes it's have natural ingredients.</t>
  </si>
  <si>
    <t>GEETHANJALI</t>
  </si>
  <si>
    <t>I am a beautician and I suggest this product of all my customer i am so happy and fully satisfied</t>
  </si>
  <si>
    <t>JYOTHIKA</t>
  </si>
  <si>
    <t>Love it... smell really good..and effective</t>
  </si>
  <si>
    <t>SHIREESHA</t>
  </si>
  <si>
    <t>Mamaearth bye bye blemishes is very good product.. It works very well.. After using this my skin become very nice and shiny..</t>
  </si>
  <si>
    <t>LEENA</t>
  </si>
  <si>
    <t>Seriously i used lots of products but...this one is my favorite .....it was help me to fade out my dark spots ...trust me use it once</t>
  </si>
  <si>
    <t>YAMINI</t>
  </si>
  <si>
    <t>Completely satisfied. Works great for me. Has given positive results and reduced pigmentation when used regularly.</t>
  </si>
  <si>
    <t>bilas</t>
  </si>
  <si>
    <t>quality is good but product price is bad</t>
  </si>
  <si>
    <t>worst product</t>
  </si>
  <si>
    <t>manish</t>
  </si>
  <si>
    <t>nice but bad quality and waste of time</t>
  </si>
  <si>
    <t>rajesh</t>
  </si>
  <si>
    <t>bad product</t>
  </si>
  <si>
    <t>srikanth</t>
  </si>
  <si>
    <t>second class quality waste product and product is bad</t>
  </si>
  <si>
    <t>amul</t>
  </si>
  <si>
    <t>second class quality.price is good</t>
  </si>
  <si>
    <t>manoj</t>
  </si>
  <si>
    <t>terrible product</t>
  </si>
  <si>
    <t>krishna</t>
  </si>
  <si>
    <t>nasty but good quality.price Is bad</t>
  </si>
  <si>
    <t>negative</t>
  </si>
  <si>
    <t>nuetral</t>
  </si>
  <si>
    <t>positive</t>
  </si>
  <si>
    <t>Reviews_Count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</si>
</sst>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i/>
      <sz val="11"/>
      <color theme="1"/>
      <name val="Lato"/>
      <charset val="134"/>
    </font>
    <font>
      <i/>
      <sz val="11"/>
      <color theme="1"/>
      <name val="Calibri"/>
      <charset val="134"/>
      <scheme val="minor"/>
    </font>
    <font>
      <i/>
      <sz val="11"/>
      <color theme="1"/>
      <name val="Lato"/>
      <charset val="134"/>
    </font>
    <font>
      <i/>
      <sz val="11"/>
      <color theme="1"/>
      <name val="Times New Roman"/>
      <family val="1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EE4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2" borderId="1" xfId="1" applyFont="1" applyFill="1" applyBorder="1"/>
    <xf numFmtId="0" fontId="3" fillId="2" borderId="1" xfId="1" applyFont="1" applyFill="1" applyBorder="1" applyAlignment="1">
      <alignment wrapText="1"/>
    </xf>
    <xf numFmtId="0" fontId="0" fillId="3" borderId="0" xfId="0" applyFill="1"/>
    <xf numFmtId="0" fontId="0" fillId="4" borderId="0" xfId="0" applyFill="1"/>
    <xf numFmtId="0" fontId="4" fillId="0" borderId="1" xfId="1" applyFont="1" applyBorder="1"/>
    <xf numFmtId="0" fontId="5" fillId="0" borderId="1" xfId="1" applyFont="1" applyBorder="1" applyAlignment="1">
      <alignment wrapText="1"/>
    </xf>
    <xf numFmtId="0" fontId="5" fillId="0" borderId="1" xfId="1" applyFont="1" applyBorder="1"/>
    <xf numFmtId="0" fontId="0" fillId="0" borderId="0" xfId="0" applyAlignment="1">
      <alignment horizontal="left"/>
    </xf>
    <xf numFmtId="0" fontId="7" fillId="0" borderId="2" xfId="1" applyFont="1" applyBorder="1"/>
    <xf numFmtId="0" fontId="5" fillId="0" borderId="2" xfId="1" applyFont="1" applyBorder="1" applyAlignment="1">
      <alignment wrapText="1"/>
    </xf>
    <xf numFmtId="0" fontId="0" fillId="0" borderId="0" xfId="0" pivotButton="1"/>
    <xf numFmtId="0" fontId="0" fillId="0" borderId="0" xfId="0" applyNumberFormat="1"/>
  </cellXfs>
  <cellStyles count="2">
    <cellStyle name="Normal" xfId="0" builtinId="0"/>
    <cellStyle name="Normal 2" xfId="1" xr:uid="{81512211-3C52-4BE9-887E-5C0E522081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[Customer_review_analysis.xlsx]Sheet1!PivotTable2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Product_Customer_review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Sheet1!$AA$6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Sheet1!$Z$7:$Z$10</c:f>
              <c:strCache>
                <c:ptCount val="3"/>
                <c:pt idx="0">
                  <c:v>negative</c:v>
                </c:pt>
                <c:pt idx="1">
                  <c:v>nuetral</c:v>
                </c:pt>
                <c:pt idx="2">
                  <c:v>positive</c:v>
                </c:pt>
              </c:strCache>
            </c:strRef>
          </c:cat>
          <c:val>
            <c:numRef>
              <c:f>Sheet1!$AA$7:$AA$10</c:f>
              <c:numCache>
                <c:formatCode>General</c:formatCode>
                <c:ptCount val="3"/>
                <c:pt idx="0">
                  <c:v>4</c:v>
                </c:pt>
                <c:pt idx="1">
                  <c:v>8</c:v>
                </c:pt>
                <c:pt idx="2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9A-4AD6-A6FB-2E8C1CAD371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4964991"/>
        <c:axId val="1114955871"/>
      </c:barChart>
      <c:catAx>
        <c:axId val="111496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955871"/>
        <c:crosses val="autoZero"/>
        <c:auto val="1"/>
        <c:lblAlgn val="ctr"/>
        <c:lblOffset val="100"/>
        <c:noMultiLvlLbl val="0"/>
      </c:catAx>
      <c:valAx>
        <c:axId val="111495587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14964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1211580</xdr:colOff>
      <xdr:row>11</xdr:row>
      <xdr:rowOff>125730</xdr:rowOff>
    </xdr:from>
    <xdr:to>
      <xdr:col>27</xdr:col>
      <xdr:colOff>1127760</xdr:colOff>
      <xdr:row>25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E69FC8-8510-0A4F-4CCC-C3C58D8AF0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kanth" refreshedDate="46163.977861342595" createdVersion="8" refreshedVersion="8" minRefreshableVersion="3" recordCount="54" xr:uid="{82CBDBFA-7DA5-40FF-B3FF-2C0BF694D391}">
  <cacheSource type="worksheet">
    <worksheetSource ref="X2:X56" sheet="Sheet1"/>
  </cacheSource>
  <cacheFields count="1">
    <cacheField name="positive/negative/neutral" numFmtId="0">
      <sharedItems count="3">
        <s v="positive"/>
        <s v="nuetral"/>
        <s v="negativ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2"/>
  </r>
  <r>
    <x v="0"/>
  </r>
  <r>
    <x v="2"/>
  </r>
  <r>
    <x v="2"/>
  </r>
  <r>
    <x v="1"/>
  </r>
  <r>
    <x v="2"/>
  </r>
  <r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D64E49-BFE7-41F5-8D35-7FC03B49E0D9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Z6:AA10" firstHeaderRow="1" firstDataRow="1" firstDataCol="1"/>
  <pivotFields count="1">
    <pivotField axis="axisRow" dataField="1" showAll="0">
      <items count="4">
        <item x="2"/>
        <item x="1"/>
        <item x="0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Reviews_Count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EF177-6FAC-48F0-A5BB-3711072DFAE4}">
  <dimension ref="A1:AD56"/>
  <sheetViews>
    <sheetView tabSelected="1" workbookViewId="0">
      <selection activeCell="AD18" sqref="AD18"/>
    </sheetView>
  </sheetViews>
  <sheetFormatPr defaultRowHeight="14.4"/>
  <cols>
    <col min="2" max="2" width="66.33203125" bestFit="1" customWidth="1"/>
    <col min="22" max="23" width="12.44140625" customWidth="1"/>
    <col min="24" max="25" width="24.44140625" bestFit="1" customWidth="1"/>
    <col min="26" max="26" width="12.5546875" bestFit="1" customWidth="1"/>
    <col min="27" max="27" width="30.88671875" bestFit="1" customWidth="1"/>
    <col min="28" max="28" width="17.33203125" bestFit="1" customWidth="1"/>
    <col min="30" max="30" width="16.88671875" bestFit="1" customWidth="1"/>
    <col min="32" max="32" width="13.109375" bestFit="1" customWidth="1"/>
    <col min="33" max="33" width="16.33203125" bestFit="1" customWidth="1"/>
  </cols>
  <sheetData>
    <row r="1" spans="1:30">
      <c r="D1">
        <v>1</v>
      </c>
      <c r="E1">
        <v>1</v>
      </c>
      <c r="F1">
        <v>1</v>
      </c>
      <c r="G1">
        <v>1</v>
      </c>
      <c r="H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Q1">
        <v>-1</v>
      </c>
      <c r="R1">
        <v>-1</v>
      </c>
      <c r="S1">
        <v>-1</v>
      </c>
      <c r="T1">
        <v>-1</v>
      </c>
      <c r="U1">
        <v>-1</v>
      </c>
      <c r="V1">
        <v>-1</v>
      </c>
    </row>
    <row r="2" spans="1:30" ht="15">
      <c r="A2" s="1" t="s">
        <v>0</v>
      </c>
      <c r="B2" s="2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/>
      <c r="X2" s="3" t="s">
        <v>21</v>
      </c>
      <c r="Y2" s="4"/>
      <c r="Z2" s="4"/>
      <c r="AA2" s="4"/>
      <c r="AB2" s="4"/>
      <c r="AC2" s="4"/>
      <c r="AD2" s="4"/>
    </row>
    <row r="3" spans="1:30" ht="15">
      <c r="A3" s="5" t="s">
        <v>22</v>
      </c>
      <c r="B3" s="6" t="s">
        <v>23</v>
      </c>
      <c r="D3">
        <f>IFERROR(IF(SEARCH(D$2,$B3),$D$1,0),0)</f>
        <v>1</v>
      </c>
      <c r="E3">
        <f>IFERROR(IF(SEARCH(E$2,$B3),$E$1,0),0)</f>
        <v>0</v>
      </c>
      <c r="F3">
        <f>IFERROR(IF(SEARCH(F$2,$B3),$F$1,0),0)</f>
        <v>0</v>
      </c>
      <c r="G3">
        <f>IFERROR(IF(SEARCH(G$2,$B3),$G$1,0),0)</f>
        <v>0</v>
      </c>
      <c r="H3">
        <f>IFERROR(IF(SEARCH(H$2,$B3),$H$1,0),0)</f>
        <v>0</v>
      </c>
      <c r="I3">
        <f>IFERROR(IF(SEARCH(I$2,$B3),$I$1,0),0)</f>
        <v>0</v>
      </c>
      <c r="J3">
        <f>IFERROR(IF(SEARCH(J$2,$B3),$J$1,0),0)</f>
        <v>0</v>
      </c>
      <c r="K3">
        <f>IFERROR(IF(SEARCH(K$2,$B3),$K$1,0),0)</f>
        <v>0</v>
      </c>
      <c r="L3">
        <f>IFERROR(IF(SEARCH(L$2,$B3),$L$1,0),0)</f>
        <v>0</v>
      </c>
      <c r="M3">
        <f>IFERROR(IF(SEARCH(M$2,$B3),$M$1,0),0)</f>
        <v>0</v>
      </c>
      <c r="N3">
        <f>IFERROR(IF(SEARCH(N$2,$B3),$N$1,0),0)</f>
        <v>0</v>
      </c>
      <c r="O3">
        <f>IFERROR(IF(SEARCH(O$2,$B3),$O$1,0),0)</f>
        <v>1</v>
      </c>
      <c r="P3">
        <f>IFERROR(IF(SEARCH(P$2,$B3),$P$1,0),0)</f>
        <v>0</v>
      </c>
      <c r="Q3">
        <f>IFERROR(IF(SEARCH(Q$2,$B3),$Q$1,0),0)</f>
        <v>0</v>
      </c>
      <c r="R3">
        <f>IFERROR(IF(SEARCH(R$2,$B3),$R$1,0),0)</f>
        <v>0</v>
      </c>
      <c r="S3">
        <f>IFERROR(IF(SEARCH(S$2,$B3),$S$1,0),0)</f>
        <v>0</v>
      </c>
      <c r="T3">
        <f>IFERROR(IF(SEARCH(T$2,$B3),$T$1,0),0)</f>
        <v>0</v>
      </c>
      <c r="U3">
        <f>IFERROR(IF(SEARCH(U$2,$B3),$U$1,0),0)</f>
        <v>0</v>
      </c>
      <c r="V3">
        <f>IFERROR(IF(SEARCH(V$2,$B3),$V$1,0),0)</f>
        <v>0</v>
      </c>
      <c r="X3" t="str">
        <f>IF(SUM(D3:V3)=0,"nuetral",IF(SUM(D3:P3)&gt;0,"positive","negative"))</f>
        <v>positive</v>
      </c>
    </row>
    <row r="4" spans="1:30" ht="15">
      <c r="A4" s="5" t="s">
        <v>24</v>
      </c>
      <c r="B4" s="6" t="s">
        <v>25</v>
      </c>
      <c r="D4">
        <f t="shared" ref="D4:D56" si="0">IFERROR(IF(SEARCH(D$2,$B4),$D$1,0),0)</f>
        <v>0</v>
      </c>
      <c r="E4">
        <f t="shared" ref="E4:E56" si="1">IFERROR(IF(SEARCH(E$2,$B4),$E$1,0),0)</f>
        <v>1</v>
      </c>
      <c r="F4">
        <f t="shared" ref="F4:F56" si="2">IFERROR(IF(SEARCH(F$2,$B4),$F$1,0),0)</f>
        <v>0</v>
      </c>
      <c r="G4">
        <f t="shared" ref="G4:G56" si="3">IFERROR(IF(SEARCH(G$2,$B4),$G$1,0),0)</f>
        <v>0</v>
      </c>
      <c r="H4">
        <f t="shared" ref="H4:H56" si="4">IFERROR(IF(SEARCH(H$2,$B4),$H$1,0),0)</f>
        <v>0</v>
      </c>
      <c r="I4">
        <f t="shared" ref="I4:I56" si="5">IFERROR(IF(SEARCH(I$2,$B4),$I$1,0),0)</f>
        <v>0</v>
      </c>
      <c r="J4">
        <f t="shared" ref="J4:J56" si="6">IFERROR(IF(SEARCH(J$2,$B4),$J$1,0),0)</f>
        <v>0</v>
      </c>
      <c r="K4">
        <f t="shared" ref="K4:K56" si="7">IFERROR(IF(SEARCH(K$2,$B4),$K$1,0),0)</f>
        <v>0</v>
      </c>
      <c r="L4">
        <f t="shared" ref="L4:L56" si="8">IFERROR(IF(SEARCH(L$2,$B4),$L$1,0),0)</f>
        <v>0</v>
      </c>
      <c r="M4">
        <f t="shared" ref="M4:M56" si="9">IFERROR(IF(SEARCH(M$2,$B4),$M$1,0),0)</f>
        <v>0</v>
      </c>
      <c r="N4">
        <f t="shared" ref="N4:N56" si="10">IFERROR(IF(SEARCH(N$2,$B4),$N$1,0),0)</f>
        <v>0</v>
      </c>
      <c r="O4">
        <f t="shared" ref="O4:O56" si="11">IFERROR(IF(SEARCH(O$2,$B4),$O$1,0),0)</f>
        <v>0</v>
      </c>
      <c r="P4">
        <f t="shared" ref="P4:P56" si="12">IFERROR(IF(SEARCH(P$2,$B4),$P$1,0),0)</f>
        <v>0</v>
      </c>
      <c r="Q4">
        <f t="shared" ref="Q4:Q56" si="13">IFERROR(IF(SEARCH(Q$2,$B4),$Q$1,0),0)</f>
        <v>0</v>
      </c>
      <c r="R4">
        <f t="shared" ref="R4:R56" si="14">IFERROR(IF(SEARCH(R$2,$B4),$R$1,0),0)</f>
        <v>0</v>
      </c>
      <c r="S4">
        <f t="shared" ref="S4:S56" si="15">IFERROR(IF(SEARCH(S$2,$B4),$S$1,0),0)</f>
        <v>0</v>
      </c>
      <c r="T4">
        <f t="shared" ref="T4:T56" si="16">IFERROR(IF(SEARCH(T$2,$B4),$T$1,0),0)</f>
        <v>0</v>
      </c>
      <c r="U4">
        <f t="shared" ref="U4:U56" si="17">IFERROR(IF(SEARCH(U$2,$B4),$U$1,0),0)</f>
        <v>0</v>
      </c>
      <c r="V4">
        <f t="shared" ref="V4:V56" si="18">IFERROR(IF(SEARCH(V$2,$B4),$V$1,0),0)</f>
        <v>0</v>
      </c>
      <c r="X4" t="str">
        <f t="shared" ref="X4:X56" si="19">IF(SUM(D4:V4)=0,"nuetral",IF(SUM(D4:P4)&gt;0,"positive","negative"))</f>
        <v>positive</v>
      </c>
    </row>
    <row r="5" spans="1:30" ht="15">
      <c r="A5" s="5" t="s">
        <v>26</v>
      </c>
      <c r="B5" s="7" t="s">
        <v>27</v>
      </c>
      <c r="D5">
        <f t="shared" si="0"/>
        <v>0</v>
      </c>
      <c r="E5">
        <f t="shared" si="1"/>
        <v>0</v>
      </c>
      <c r="F5">
        <f t="shared" si="2"/>
        <v>1</v>
      </c>
      <c r="G5">
        <f t="shared" si="3"/>
        <v>0</v>
      </c>
      <c r="H5">
        <f t="shared" si="4"/>
        <v>0</v>
      </c>
      <c r="I5">
        <f t="shared" si="5"/>
        <v>0</v>
      </c>
      <c r="J5">
        <f t="shared" si="6"/>
        <v>0</v>
      </c>
      <c r="K5">
        <f t="shared" si="7"/>
        <v>0</v>
      </c>
      <c r="L5">
        <f t="shared" si="8"/>
        <v>0</v>
      </c>
      <c r="M5">
        <f t="shared" si="9"/>
        <v>0</v>
      </c>
      <c r="N5">
        <f t="shared" si="10"/>
        <v>0</v>
      </c>
      <c r="O5">
        <f t="shared" si="11"/>
        <v>0</v>
      </c>
      <c r="P5">
        <f t="shared" si="12"/>
        <v>0</v>
      </c>
      <c r="Q5">
        <f t="shared" si="13"/>
        <v>0</v>
      </c>
      <c r="R5">
        <f t="shared" si="14"/>
        <v>0</v>
      </c>
      <c r="S5">
        <f t="shared" si="15"/>
        <v>0</v>
      </c>
      <c r="T5">
        <f t="shared" si="16"/>
        <v>0</v>
      </c>
      <c r="U5">
        <f t="shared" si="17"/>
        <v>0</v>
      </c>
      <c r="V5">
        <f t="shared" si="18"/>
        <v>0</v>
      </c>
      <c r="X5" t="str">
        <f t="shared" si="19"/>
        <v>positive</v>
      </c>
    </row>
    <row r="6" spans="1:30" ht="15">
      <c r="A6" s="5" t="s">
        <v>28</v>
      </c>
      <c r="B6" s="7" t="s">
        <v>29</v>
      </c>
      <c r="D6">
        <f t="shared" si="0"/>
        <v>1</v>
      </c>
      <c r="E6">
        <f t="shared" si="1"/>
        <v>0</v>
      </c>
      <c r="F6">
        <f t="shared" si="2"/>
        <v>0</v>
      </c>
      <c r="G6">
        <f t="shared" si="3"/>
        <v>0</v>
      </c>
      <c r="H6">
        <f t="shared" si="4"/>
        <v>0</v>
      </c>
      <c r="I6">
        <f t="shared" si="5"/>
        <v>0</v>
      </c>
      <c r="J6">
        <f t="shared" si="6"/>
        <v>0</v>
      </c>
      <c r="K6">
        <f t="shared" si="7"/>
        <v>0</v>
      </c>
      <c r="L6">
        <f t="shared" si="8"/>
        <v>0</v>
      </c>
      <c r="M6">
        <f t="shared" si="9"/>
        <v>0</v>
      </c>
      <c r="N6">
        <f t="shared" si="10"/>
        <v>0</v>
      </c>
      <c r="O6">
        <f t="shared" si="11"/>
        <v>1</v>
      </c>
      <c r="P6">
        <f t="shared" si="12"/>
        <v>0</v>
      </c>
      <c r="Q6">
        <f t="shared" si="13"/>
        <v>0</v>
      </c>
      <c r="R6">
        <f t="shared" si="14"/>
        <v>0</v>
      </c>
      <c r="S6">
        <f t="shared" si="15"/>
        <v>0</v>
      </c>
      <c r="T6">
        <f t="shared" si="16"/>
        <v>0</v>
      </c>
      <c r="U6">
        <f t="shared" si="17"/>
        <v>0</v>
      </c>
      <c r="V6">
        <f t="shared" si="18"/>
        <v>0</v>
      </c>
      <c r="X6" t="str">
        <f t="shared" si="19"/>
        <v>positive</v>
      </c>
      <c r="Z6" s="11" t="s">
        <v>40</v>
      </c>
      <c r="AA6" t="s">
        <v>127</v>
      </c>
    </row>
    <row r="7" spans="1:30" ht="15">
      <c r="A7" s="5" t="s">
        <v>30</v>
      </c>
      <c r="B7" s="6" t="s">
        <v>31</v>
      </c>
      <c r="D7">
        <f t="shared" si="0"/>
        <v>1</v>
      </c>
      <c r="E7">
        <f t="shared" si="1"/>
        <v>0</v>
      </c>
      <c r="F7">
        <f t="shared" si="2"/>
        <v>0</v>
      </c>
      <c r="G7">
        <f t="shared" si="3"/>
        <v>0</v>
      </c>
      <c r="H7">
        <f t="shared" si="4"/>
        <v>0</v>
      </c>
      <c r="I7">
        <f t="shared" si="5"/>
        <v>0</v>
      </c>
      <c r="J7">
        <f t="shared" si="6"/>
        <v>0</v>
      </c>
      <c r="K7">
        <f t="shared" si="7"/>
        <v>0</v>
      </c>
      <c r="L7">
        <f t="shared" si="8"/>
        <v>0</v>
      </c>
      <c r="M7">
        <f t="shared" si="9"/>
        <v>0</v>
      </c>
      <c r="N7">
        <f t="shared" si="10"/>
        <v>0</v>
      </c>
      <c r="O7">
        <f t="shared" si="11"/>
        <v>0</v>
      </c>
      <c r="P7">
        <f t="shared" si="12"/>
        <v>0</v>
      </c>
      <c r="Q7">
        <f t="shared" si="13"/>
        <v>0</v>
      </c>
      <c r="R7">
        <f t="shared" si="14"/>
        <v>0</v>
      </c>
      <c r="S7">
        <f t="shared" si="15"/>
        <v>0</v>
      </c>
      <c r="T7">
        <f t="shared" si="16"/>
        <v>0</v>
      </c>
      <c r="U7">
        <f t="shared" si="17"/>
        <v>0</v>
      </c>
      <c r="V7">
        <f t="shared" si="18"/>
        <v>0</v>
      </c>
      <c r="X7" t="str">
        <f t="shared" si="19"/>
        <v>positive</v>
      </c>
      <c r="Z7" s="8" t="s">
        <v>124</v>
      </c>
      <c r="AA7" s="12">
        <v>4</v>
      </c>
    </row>
    <row r="8" spans="1:30" ht="15">
      <c r="A8" s="5" t="s">
        <v>32</v>
      </c>
      <c r="B8" s="6" t="s">
        <v>33</v>
      </c>
      <c r="D8">
        <f t="shared" si="0"/>
        <v>0</v>
      </c>
      <c r="E8">
        <f t="shared" si="1"/>
        <v>1</v>
      </c>
      <c r="F8">
        <f t="shared" si="2"/>
        <v>0</v>
      </c>
      <c r="G8">
        <f t="shared" si="3"/>
        <v>1</v>
      </c>
      <c r="H8">
        <f t="shared" si="4"/>
        <v>0</v>
      </c>
      <c r="I8">
        <f t="shared" si="5"/>
        <v>0</v>
      </c>
      <c r="J8">
        <f t="shared" si="6"/>
        <v>0</v>
      </c>
      <c r="K8">
        <f t="shared" si="7"/>
        <v>0</v>
      </c>
      <c r="L8">
        <f t="shared" si="8"/>
        <v>0</v>
      </c>
      <c r="M8">
        <f t="shared" si="9"/>
        <v>0</v>
      </c>
      <c r="N8">
        <f t="shared" si="10"/>
        <v>0</v>
      </c>
      <c r="O8">
        <f t="shared" si="11"/>
        <v>0</v>
      </c>
      <c r="P8">
        <f t="shared" si="12"/>
        <v>0</v>
      </c>
      <c r="Q8">
        <f t="shared" si="13"/>
        <v>0</v>
      </c>
      <c r="R8">
        <f t="shared" si="14"/>
        <v>0</v>
      </c>
      <c r="S8">
        <f t="shared" si="15"/>
        <v>0</v>
      </c>
      <c r="T8">
        <f t="shared" si="16"/>
        <v>0</v>
      </c>
      <c r="U8">
        <f t="shared" si="17"/>
        <v>0</v>
      </c>
      <c r="V8">
        <f t="shared" si="18"/>
        <v>0</v>
      </c>
      <c r="X8" t="str">
        <f t="shared" si="19"/>
        <v>positive</v>
      </c>
      <c r="Z8" s="8" t="s">
        <v>125</v>
      </c>
      <c r="AA8" s="12">
        <v>8</v>
      </c>
    </row>
    <row r="9" spans="1:30" ht="29.4">
      <c r="A9" s="5" t="s">
        <v>34</v>
      </c>
      <c r="B9" s="6" t="s">
        <v>35</v>
      </c>
      <c r="D9">
        <f t="shared" si="0"/>
        <v>0</v>
      </c>
      <c r="E9">
        <f t="shared" si="1"/>
        <v>1</v>
      </c>
      <c r="F9">
        <f t="shared" si="2"/>
        <v>0</v>
      </c>
      <c r="G9">
        <f t="shared" si="3"/>
        <v>1</v>
      </c>
      <c r="H9">
        <f t="shared" si="4"/>
        <v>0</v>
      </c>
      <c r="I9">
        <f t="shared" si="5"/>
        <v>0</v>
      </c>
      <c r="J9">
        <f t="shared" si="6"/>
        <v>0</v>
      </c>
      <c r="K9">
        <f t="shared" si="7"/>
        <v>0</v>
      </c>
      <c r="L9">
        <f t="shared" si="8"/>
        <v>0</v>
      </c>
      <c r="M9">
        <f t="shared" si="9"/>
        <v>0</v>
      </c>
      <c r="N9">
        <f t="shared" si="10"/>
        <v>0</v>
      </c>
      <c r="O9">
        <f t="shared" si="11"/>
        <v>0</v>
      </c>
      <c r="P9">
        <f t="shared" si="12"/>
        <v>0</v>
      </c>
      <c r="Q9">
        <f t="shared" si="13"/>
        <v>0</v>
      </c>
      <c r="R9">
        <f t="shared" si="14"/>
        <v>0</v>
      </c>
      <c r="S9">
        <f t="shared" si="15"/>
        <v>0</v>
      </c>
      <c r="T9">
        <f t="shared" si="16"/>
        <v>0</v>
      </c>
      <c r="U9">
        <f t="shared" si="17"/>
        <v>0</v>
      </c>
      <c r="V9">
        <f t="shared" si="18"/>
        <v>0</v>
      </c>
      <c r="X9" t="str">
        <f t="shared" si="19"/>
        <v>positive</v>
      </c>
      <c r="Z9" s="8" t="s">
        <v>126</v>
      </c>
      <c r="AA9" s="12">
        <v>42</v>
      </c>
    </row>
    <row r="10" spans="1:30" ht="15">
      <c r="A10" s="5" t="s">
        <v>36</v>
      </c>
      <c r="B10" s="7" t="s">
        <v>37</v>
      </c>
      <c r="D10">
        <f t="shared" si="0"/>
        <v>0</v>
      </c>
      <c r="E10">
        <f t="shared" si="1"/>
        <v>0</v>
      </c>
      <c r="F10">
        <f t="shared" si="2"/>
        <v>0</v>
      </c>
      <c r="G10">
        <f t="shared" si="3"/>
        <v>1</v>
      </c>
      <c r="H10">
        <f t="shared" si="4"/>
        <v>0</v>
      </c>
      <c r="I10">
        <f t="shared" si="5"/>
        <v>0</v>
      </c>
      <c r="J10">
        <f t="shared" si="6"/>
        <v>0</v>
      </c>
      <c r="K10">
        <f t="shared" si="7"/>
        <v>0</v>
      </c>
      <c r="L10">
        <f t="shared" si="8"/>
        <v>0</v>
      </c>
      <c r="M10">
        <f t="shared" si="9"/>
        <v>0</v>
      </c>
      <c r="N10">
        <f t="shared" si="10"/>
        <v>0</v>
      </c>
      <c r="O10">
        <f t="shared" si="11"/>
        <v>0</v>
      </c>
      <c r="P10">
        <f t="shared" si="12"/>
        <v>0</v>
      </c>
      <c r="Q10">
        <f t="shared" si="13"/>
        <v>0</v>
      </c>
      <c r="R10">
        <f t="shared" si="14"/>
        <v>0</v>
      </c>
      <c r="S10">
        <f t="shared" si="15"/>
        <v>0</v>
      </c>
      <c r="T10">
        <f t="shared" si="16"/>
        <v>0</v>
      </c>
      <c r="U10">
        <f t="shared" si="17"/>
        <v>0</v>
      </c>
      <c r="V10">
        <f t="shared" si="18"/>
        <v>0</v>
      </c>
      <c r="X10" t="str">
        <f t="shared" si="19"/>
        <v>positive</v>
      </c>
      <c r="Z10" s="8" t="s">
        <v>46</v>
      </c>
      <c r="AA10" s="12">
        <v>54</v>
      </c>
    </row>
    <row r="11" spans="1:30" ht="15">
      <c r="A11" s="5" t="s">
        <v>38</v>
      </c>
      <c r="B11" s="7" t="s">
        <v>39</v>
      </c>
      <c r="D11">
        <f t="shared" si="0"/>
        <v>0</v>
      </c>
      <c r="E11">
        <f t="shared" si="1"/>
        <v>0</v>
      </c>
      <c r="F11">
        <f t="shared" si="2"/>
        <v>0</v>
      </c>
      <c r="G11">
        <f t="shared" si="3"/>
        <v>0</v>
      </c>
      <c r="H11">
        <f t="shared" si="4"/>
        <v>1</v>
      </c>
      <c r="I11">
        <f t="shared" si="5"/>
        <v>0</v>
      </c>
      <c r="J11">
        <f t="shared" si="6"/>
        <v>0</v>
      </c>
      <c r="K11">
        <f t="shared" si="7"/>
        <v>0</v>
      </c>
      <c r="L11">
        <f t="shared" si="8"/>
        <v>0</v>
      </c>
      <c r="M11">
        <f t="shared" si="9"/>
        <v>0</v>
      </c>
      <c r="N11">
        <f t="shared" si="10"/>
        <v>0</v>
      </c>
      <c r="O11">
        <f t="shared" si="11"/>
        <v>1</v>
      </c>
      <c r="P11">
        <f t="shared" si="12"/>
        <v>0</v>
      </c>
      <c r="Q11">
        <f t="shared" si="13"/>
        <v>0</v>
      </c>
      <c r="R11">
        <f t="shared" si="14"/>
        <v>0</v>
      </c>
      <c r="S11">
        <f t="shared" si="15"/>
        <v>0</v>
      </c>
      <c r="T11">
        <f t="shared" si="16"/>
        <v>0</v>
      </c>
      <c r="U11">
        <f t="shared" si="17"/>
        <v>0</v>
      </c>
      <c r="V11">
        <f t="shared" si="18"/>
        <v>0</v>
      </c>
      <c r="X11" t="str">
        <f t="shared" si="19"/>
        <v>positive</v>
      </c>
    </row>
    <row r="12" spans="1:30" ht="15">
      <c r="A12" s="5" t="s">
        <v>41</v>
      </c>
      <c r="B12" s="7" t="s">
        <v>31</v>
      </c>
      <c r="D12">
        <f t="shared" si="0"/>
        <v>1</v>
      </c>
      <c r="E12">
        <f t="shared" si="1"/>
        <v>0</v>
      </c>
      <c r="F12">
        <f t="shared" si="2"/>
        <v>0</v>
      </c>
      <c r="G12">
        <f t="shared" si="3"/>
        <v>0</v>
      </c>
      <c r="H12">
        <f t="shared" si="4"/>
        <v>0</v>
      </c>
      <c r="I12">
        <f t="shared" si="5"/>
        <v>0</v>
      </c>
      <c r="J12">
        <f t="shared" si="6"/>
        <v>0</v>
      </c>
      <c r="K12">
        <f t="shared" si="7"/>
        <v>0</v>
      </c>
      <c r="L12">
        <f t="shared" si="8"/>
        <v>0</v>
      </c>
      <c r="M12">
        <f t="shared" si="9"/>
        <v>0</v>
      </c>
      <c r="N12">
        <f t="shared" si="10"/>
        <v>0</v>
      </c>
      <c r="O12">
        <f t="shared" si="11"/>
        <v>0</v>
      </c>
      <c r="P12">
        <f t="shared" si="12"/>
        <v>0</v>
      </c>
      <c r="Q12">
        <f t="shared" si="13"/>
        <v>0</v>
      </c>
      <c r="R12">
        <f t="shared" si="14"/>
        <v>0</v>
      </c>
      <c r="S12">
        <f t="shared" si="15"/>
        <v>0</v>
      </c>
      <c r="T12">
        <f t="shared" si="16"/>
        <v>0</v>
      </c>
      <c r="U12">
        <f t="shared" si="17"/>
        <v>0</v>
      </c>
      <c r="V12">
        <f t="shared" si="18"/>
        <v>0</v>
      </c>
      <c r="X12" t="str">
        <f t="shared" si="19"/>
        <v>positive</v>
      </c>
    </row>
    <row r="13" spans="1:30" ht="15">
      <c r="A13" s="5" t="s">
        <v>42</v>
      </c>
      <c r="B13" s="7" t="s">
        <v>43</v>
      </c>
      <c r="D13">
        <f t="shared" si="0"/>
        <v>0</v>
      </c>
      <c r="E13">
        <f t="shared" si="1"/>
        <v>1</v>
      </c>
      <c r="F13">
        <f t="shared" si="2"/>
        <v>0</v>
      </c>
      <c r="G13">
        <f t="shared" si="3"/>
        <v>1</v>
      </c>
      <c r="H13">
        <f t="shared" si="4"/>
        <v>0</v>
      </c>
      <c r="I13">
        <f t="shared" si="5"/>
        <v>0</v>
      </c>
      <c r="J13">
        <f t="shared" si="6"/>
        <v>0</v>
      </c>
      <c r="K13">
        <f t="shared" si="7"/>
        <v>0</v>
      </c>
      <c r="L13">
        <f t="shared" si="8"/>
        <v>0</v>
      </c>
      <c r="M13">
        <f t="shared" si="9"/>
        <v>0</v>
      </c>
      <c r="N13">
        <f t="shared" si="10"/>
        <v>0</v>
      </c>
      <c r="O13">
        <f t="shared" si="11"/>
        <v>0</v>
      </c>
      <c r="P13">
        <f t="shared" si="12"/>
        <v>0</v>
      </c>
      <c r="Q13">
        <f t="shared" si="13"/>
        <v>0</v>
      </c>
      <c r="R13">
        <f t="shared" si="14"/>
        <v>0</v>
      </c>
      <c r="S13">
        <f t="shared" si="15"/>
        <v>0</v>
      </c>
      <c r="T13">
        <f t="shared" si="16"/>
        <v>0</v>
      </c>
      <c r="U13">
        <f t="shared" si="17"/>
        <v>0</v>
      </c>
      <c r="V13">
        <f t="shared" si="18"/>
        <v>0</v>
      </c>
      <c r="X13" t="str">
        <f t="shared" si="19"/>
        <v>positive</v>
      </c>
    </row>
    <row r="14" spans="1:30" ht="15">
      <c r="A14" s="5" t="s">
        <v>44</v>
      </c>
      <c r="B14" s="7" t="s">
        <v>45</v>
      </c>
      <c r="D14">
        <f t="shared" si="0"/>
        <v>0</v>
      </c>
      <c r="E14">
        <f t="shared" si="1"/>
        <v>0</v>
      </c>
      <c r="F14">
        <f t="shared" si="2"/>
        <v>0</v>
      </c>
      <c r="G14">
        <f t="shared" si="3"/>
        <v>1</v>
      </c>
      <c r="H14">
        <f t="shared" si="4"/>
        <v>0</v>
      </c>
      <c r="I14">
        <f t="shared" si="5"/>
        <v>0</v>
      </c>
      <c r="J14">
        <f t="shared" si="6"/>
        <v>1</v>
      </c>
      <c r="K14">
        <f t="shared" si="7"/>
        <v>0</v>
      </c>
      <c r="L14">
        <f t="shared" si="8"/>
        <v>0</v>
      </c>
      <c r="M14">
        <f t="shared" si="9"/>
        <v>0</v>
      </c>
      <c r="N14">
        <f t="shared" si="10"/>
        <v>0</v>
      </c>
      <c r="O14">
        <f t="shared" si="11"/>
        <v>0</v>
      </c>
      <c r="P14">
        <f t="shared" si="12"/>
        <v>0</v>
      </c>
      <c r="Q14">
        <f t="shared" si="13"/>
        <v>0</v>
      </c>
      <c r="R14">
        <f t="shared" si="14"/>
        <v>0</v>
      </c>
      <c r="S14">
        <f t="shared" si="15"/>
        <v>0</v>
      </c>
      <c r="T14">
        <f t="shared" si="16"/>
        <v>0</v>
      </c>
      <c r="U14">
        <f t="shared" si="17"/>
        <v>0</v>
      </c>
      <c r="V14">
        <f t="shared" si="18"/>
        <v>0</v>
      </c>
      <c r="X14" t="str">
        <f t="shared" si="19"/>
        <v>positive</v>
      </c>
    </row>
    <row r="15" spans="1:30" ht="15">
      <c r="A15" s="5" t="s">
        <v>47</v>
      </c>
      <c r="B15" s="7" t="s">
        <v>48</v>
      </c>
      <c r="D15">
        <f t="shared" si="0"/>
        <v>0</v>
      </c>
      <c r="E15">
        <f t="shared" si="1"/>
        <v>0</v>
      </c>
      <c r="F15">
        <f t="shared" si="2"/>
        <v>0</v>
      </c>
      <c r="G15">
        <f t="shared" si="3"/>
        <v>0</v>
      </c>
      <c r="H15">
        <f t="shared" si="4"/>
        <v>1</v>
      </c>
      <c r="I15">
        <f t="shared" si="5"/>
        <v>0</v>
      </c>
      <c r="J15">
        <f t="shared" si="6"/>
        <v>0</v>
      </c>
      <c r="K15">
        <f t="shared" si="7"/>
        <v>0</v>
      </c>
      <c r="L15">
        <f t="shared" si="8"/>
        <v>0</v>
      </c>
      <c r="M15">
        <f t="shared" si="9"/>
        <v>0</v>
      </c>
      <c r="N15">
        <f t="shared" si="10"/>
        <v>0</v>
      </c>
      <c r="O15">
        <f t="shared" si="11"/>
        <v>0</v>
      </c>
      <c r="P15">
        <f t="shared" si="12"/>
        <v>0</v>
      </c>
      <c r="Q15">
        <f t="shared" si="13"/>
        <v>0</v>
      </c>
      <c r="R15">
        <f t="shared" si="14"/>
        <v>0</v>
      </c>
      <c r="S15">
        <f t="shared" si="15"/>
        <v>0</v>
      </c>
      <c r="T15">
        <f t="shared" si="16"/>
        <v>0</v>
      </c>
      <c r="U15">
        <f t="shared" si="17"/>
        <v>0</v>
      </c>
      <c r="V15">
        <f t="shared" si="18"/>
        <v>0</v>
      </c>
      <c r="X15" t="str">
        <f t="shared" si="19"/>
        <v>positive</v>
      </c>
    </row>
    <row r="16" spans="1:30" ht="15">
      <c r="A16" s="5" t="s">
        <v>49</v>
      </c>
      <c r="B16" s="7" t="s">
        <v>50</v>
      </c>
      <c r="D16">
        <f t="shared" si="0"/>
        <v>0</v>
      </c>
      <c r="E16">
        <f t="shared" si="1"/>
        <v>0</v>
      </c>
      <c r="F16">
        <f t="shared" si="2"/>
        <v>0</v>
      </c>
      <c r="G16">
        <f t="shared" si="3"/>
        <v>0</v>
      </c>
      <c r="H16">
        <f t="shared" si="4"/>
        <v>1</v>
      </c>
      <c r="I16">
        <f t="shared" si="5"/>
        <v>0</v>
      </c>
      <c r="J16">
        <f t="shared" si="6"/>
        <v>0</v>
      </c>
      <c r="K16">
        <f t="shared" si="7"/>
        <v>0</v>
      </c>
      <c r="L16">
        <f t="shared" si="8"/>
        <v>0</v>
      </c>
      <c r="M16">
        <f t="shared" si="9"/>
        <v>0</v>
      </c>
      <c r="N16">
        <f t="shared" si="10"/>
        <v>0</v>
      </c>
      <c r="O16">
        <f t="shared" si="11"/>
        <v>0</v>
      </c>
      <c r="P16">
        <f t="shared" si="12"/>
        <v>0</v>
      </c>
      <c r="Q16">
        <f t="shared" si="13"/>
        <v>0</v>
      </c>
      <c r="R16">
        <f t="shared" si="14"/>
        <v>0</v>
      </c>
      <c r="S16">
        <f t="shared" si="15"/>
        <v>0</v>
      </c>
      <c r="T16">
        <f t="shared" si="16"/>
        <v>0</v>
      </c>
      <c r="U16">
        <f t="shared" si="17"/>
        <v>0</v>
      </c>
      <c r="V16">
        <f t="shared" si="18"/>
        <v>0</v>
      </c>
      <c r="X16" t="str">
        <f t="shared" si="19"/>
        <v>positive</v>
      </c>
    </row>
    <row r="17" spans="1:24" ht="15">
      <c r="A17" s="5" t="s">
        <v>51</v>
      </c>
      <c r="B17" s="6" t="s">
        <v>52</v>
      </c>
      <c r="D17">
        <f t="shared" si="0"/>
        <v>0</v>
      </c>
      <c r="E17">
        <f t="shared" si="1"/>
        <v>0</v>
      </c>
      <c r="F17">
        <f t="shared" si="2"/>
        <v>0</v>
      </c>
      <c r="G17">
        <f t="shared" si="3"/>
        <v>0</v>
      </c>
      <c r="H17">
        <f t="shared" si="4"/>
        <v>1</v>
      </c>
      <c r="I17">
        <f t="shared" si="5"/>
        <v>0</v>
      </c>
      <c r="J17">
        <f t="shared" si="6"/>
        <v>0</v>
      </c>
      <c r="K17">
        <f t="shared" si="7"/>
        <v>0</v>
      </c>
      <c r="L17">
        <f t="shared" si="8"/>
        <v>0</v>
      </c>
      <c r="M17">
        <f t="shared" si="9"/>
        <v>0</v>
      </c>
      <c r="N17">
        <f t="shared" si="10"/>
        <v>0</v>
      </c>
      <c r="O17">
        <f t="shared" si="11"/>
        <v>0</v>
      </c>
      <c r="P17">
        <f t="shared" si="12"/>
        <v>0</v>
      </c>
      <c r="Q17">
        <f t="shared" si="13"/>
        <v>0</v>
      </c>
      <c r="R17">
        <f t="shared" si="14"/>
        <v>0</v>
      </c>
      <c r="S17">
        <f t="shared" si="15"/>
        <v>0</v>
      </c>
      <c r="T17">
        <f t="shared" si="16"/>
        <v>0</v>
      </c>
      <c r="U17">
        <f t="shared" si="17"/>
        <v>0</v>
      </c>
      <c r="V17">
        <f t="shared" si="18"/>
        <v>0</v>
      </c>
      <c r="X17" t="str">
        <f t="shared" si="19"/>
        <v>positive</v>
      </c>
    </row>
    <row r="18" spans="1:24" ht="29.4">
      <c r="A18" s="5" t="s">
        <v>53</v>
      </c>
      <c r="B18" s="6" t="s">
        <v>54</v>
      </c>
      <c r="D18">
        <f t="shared" si="0"/>
        <v>0</v>
      </c>
      <c r="E18">
        <f t="shared" si="1"/>
        <v>0</v>
      </c>
      <c r="F18">
        <f t="shared" si="2"/>
        <v>0</v>
      </c>
      <c r="G18">
        <f t="shared" si="3"/>
        <v>0</v>
      </c>
      <c r="H18">
        <f t="shared" si="4"/>
        <v>0</v>
      </c>
      <c r="I18">
        <f t="shared" si="5"/>
        <v>0</v>
      </c>
      <c r="J18">
        <f t="shared" si="6"/>
        <v>0</v>
      </c>
      <c r="K18">
        <f t="shared" si="7"/>
        <v>0</v>
      </c>
      <c r="L18">
        <f t="shared" si="8"/>
        <v>0</v>
      </c>
      <c r="M18">
        <f t="shared" si="9"/>
        <v>0</v>
      </c>
      <c r="N18">
        <f t="shared" si="10"/>
        <v>0</v>
      </c>
      <c r="O18">
        <f t="shared" si="11"/>
        <v>0</v>
      </c>
      <c r="P18">
        <f t="shared" si="12"/>
        <v>0</v>
      </c>
      <c r="Q18">
        <f t="shared" si="13"/>
        <v>0</v>
      </c>
      <c r="R18">
        <f t="shared" si="14"/>
        <v>0</v>
      </c>
      <c r="S18">
        <f t="shared" si="15"/>
        <v>0</v>
      </c>
      <c r="T18">
        <f t="shared" si="16"/>
        <v>0</v>
      </c>
      <c r="U18">
        <f t="shared" si="17"/>
        <v>0</v>
      </c>
      <c r="V18">
        <f t="shared" si="18"/>
        <v>0</v>
      </c>
      <c r="X18" t="str">
        <f t="shared" si="19"/>
        <v>nuetral</v>
      </c>
    </row>
    <row r="19" spans="1:24" ht="15">
      <c r="A19" s="5" t="s">
        <v>55</v>
      </c>
      <c r="B19" s="6" t="s">
        <v>56</v>
      </c>
      <c r="D19">
        <f t="shared" si="0"/>
        <v>0</v>
      </c>
      <c r="E19">
        <f t="shared" si="1"/>
        <v>1</v>
      </c>
      <c r="F19">
        <f t="shared" si="2"/>
        <v>0</v>
      </c>
      <c r="G19">
        <f t="shared" si="3"/>
        <v>0</v>
      </c>
      <c r="H19">
        <f t="shared" si="4"/>
        <v>0</v>
      </c>
      <c r="I19">
        <f t="shared" si="5"/>
        <v>0</v>
      </c>
      <c r="J19">
        <f t="shared" si="6"/>
        <v>0</v>
      </c>
      <c r="K19">
        <f t="shared" si="7"/>
        <v>0</v>
      </c>
      <c r="L19">
        <f t="shared" si="8"/>
        <v>0</v>
      </c>
      <c r="M19">
        <f t="shared" si="9"/>
        <v>0</v>
      </c>
      <c r="N19">
        <f t="shared" si="10"/>
        <v>0</v>
      </c>
      <c r="O19">
        <f t="shared" si="11"/>
        <v>0</v>
      </c>
      <c r="P19">
        <f t="shared" si="12"/>
        <v>0</v>
      </c>
      <c r="Q19">
        <f t="shared" si="13"/>
        <v>0</v>
      </c>
      <c r="R19">
        <f t="shared" si="14"/>
        <v>0</v>
      </c>
      <c r="S19">
        <f t="shared" si="15"/>
        <v>0</v>
      </c>
      <c r="T19">
        <f t="shared" si="16"/>
        <v>0</v>
      </c>
      <c r="U19">
        <f t="shared" si="17"/>
        <v>0</v>
      </c>
      <c r="V19">
        <f t="shared" si="18"/>
        <v>0</v>
      </c>
      <c r="X19" t="str">
        <f t="shared" si="19"/>
        <v>positive</v>
      </c>
    </row>
    <row r="20" spans="1:24" ht="15">
      <c r="A20" s="5" t="s">
        <v>57</v>
      </c>
      <c r="B20" s="6" t="s">
        <v>58</v>
      </c>
      <c r="D20">
        <f t="shared" si="0"/>
        <v>0</v>
      </c>
      <c r="E20">
        <f t="shared" si="1"/>
        <v>0</v>
      </c>
      <c r="F20">
        <f t="shared" si="2"/>
        <v>0</v>
      </c>
      <c r="G20">
        <f t="shared" si="3"/>
        <v>0</v>
      </c>
      <c r="H20">
        <f t="shared" si="4"/>
        <v>0</v>
      </c>
      <c r="I20">
        <f t="shared" si="5"/>
        <v>0</v>
      </c>
      <c r="J20">
        <f t="shared" si="6"/>
        <v>1</v>
      </c>
      <c r="K20">
        <f t="shared" si="7"/>
        <v>0</v>
      </c>
      <c r="L20">
        <f t="shared" si="8"/>
        <v>0</v>
      </c>
      <c r="M20">
        <f t="shared" si="9"/>
        <v>0</v>
      </c>
      <c r="N20">
        <f t="shared" si="10"/>
        <v>0</v>
      </c>
      <c r="O20">
        <f t="shared" si="11"/>
        <v>0</v>
      </c>
      <c r="P20">
        <f t="shared" si="12"/>
        <v>0</v>
      </c>
      <c r="Q20">
        <f t="shared" si="13"/>
        <v>0</v>
      </c>
      <c r="R20">
        <f t="shared" si="14"/>
        <v>0</v>
      </c>
      <c r="S20">
        <f t="shared" si="15"/>
        <v>0</v>
      </c>
      <c r="T20">
        <f t="shared" si="16"/>
        <v>0</v>
      </c>
      <c r="U20">
        <f t="shared" si="17"/>
        <v>0</v>
      </c>
      <c r="V20">
        <f t="shared" si="18"/>
        <v>0</v>
      </c>
      <c r="X20" t="str">
        <f t="shared" si="19"/>
        <v>positive</v>
      </c>
    </row>
    <row r="21" spans="1:24" ht="15">
      <c r="A21" s="5" t="s">
        <v>59</v>
      </c>
      <c r="B21" s="6" t="s">
        <v>60</v>
      </c>
      <c r="D21">
        <f t="shared" si="0"/>
        <v>0</v>
      </c>
      <c r="E21">
        <f t="shared" si="1"/>
        <v>0</v>
      </c>
      <c r="F21">
        <f t="shared" si="2"/>
        <v>0</v>
      </c>
      <c r="G21">
        <f t="shared" si="3"/>
        <v>0</v>
      </c>
      <c r="H21">
        <f t="shared" si="4"/>
        <v>0</v>
      </c>
      <c r="I21">
        <f t="shared" si="5"/>
        <v>0</v>
      </c>
      <c r="J21">
        <f t="shared" si="6"/>
        <v>0</v>
      </c>
      <c r="K21">
        <f t="shared" si="7"/>
        <v>0</v>
      </c>
      <c r="L21">
        <f t="shared" si="8"/>
        <v>0</v>
      </c>
      <c r="M21">
        <f t="shared" si="9"/>
        <v>0</v>
      </c>
      <c r="N21">
        <f t="shared" si="10"/>
        <v>0</v>
      </c>
      <c r="O21">
        <f t="shared" si="11"/>
        <v>0</v>
      </c>
      <c r="P21">
        <f t="shared" si="12"/>
        <v>0</v>
      </c>
      <c r="Q21">
        <f t="shared" si="13"/>
        <v>0</v>
      </c>
      <c r="R21">
        <f t="shared" si="14"/>
        <v>0</v>
      </c>
      <c r="S21">
        <f t="shared" si="15"/>
        <v>0</v>
      </c>
      <c r="T21">
        <f t="shared" si="16"/>
        <v>0</v>
      </c>
      <c r="U21">
        <f t="shared" si="17"/>
        <v>0</v>
      </c>
      <c r="V21">
        <f t="shared" si="18"/>
        <v>0</v>
      </c>
      <c r="X21" t="str">
        <f t="shared" si="19"/>
        <v>nuetral</v>
      </c>
    </row>
    <row r="22" spans="1:24" ht="15">
      <c r="A22" s="5" t="s">
        <v>61</v>
      </c>
      <c r="B22" s="7" t="s">
        <v>62</v>
      </c>
      <c r="D22">
        <f t="shared" si="0"/>
        <v>0</v>
      </c>
      <c r="E22">
        <f t="shared" si="1"/>
        <v>1</v>
      </c>
      <c r="F22">
        <f t="shared" si="2"/>
        <v>0</v>
      </c>
      <c r="G22">
        <f t="shared" si="3"/>
        <v>1</v>
      </c>
      <c r="H22">
        <f t="shared" si="4"/>
        <v>0</v>
      </c>
      <c r="I22">
        <f t="shared" si="5"/>
        <v>0</v>
      </c>
      <c r="J22">
        <f t="shared" si="6"/>
        <v>0</v>
      </c>
      <c r="K22">
        <f t="shared" si="7"/>
        <v>0</v>
      </c>
      <c r="L22">
        <f t="shared" si="8"/>
        <v>0</v>
      </c>
      <c r="M22">
        <f t="shared" si="9"/>
        <v>0</v>
      </c>
      <c r="N22">
        <f t="shared" si="10"/>
        <v>0</v>
      </c>
      <c r="O22">
        <f t="shared" si="11"/>
        <v>0</v>
      </c>
      <c r="P22">
        <f t="shared" si="12"/>
        <v>0</v>
      </c>
      <c r="Q22">
        <f t="shared" si="13"/>
        <v>0</v>
      </c>
      <c r="R22">
        <f t="shared" si="14"/>
        <v>0</v>
      </c>
      <c r="S22">
        <f t="shared" si="15"/>
        <v>0</v>
      </c>
      <c r="T22">
        <f t="shared" si="16"/>
        <v>0</v>
      </c>
      <c r="U22">
        <f t="shared" si="17"/>
        <v>0</v>
      </c>
      <c r="V22">
        <f t="shared" si="18"/>
        <v>0</v>
      </c>
      <c r="X22" t="str">
        <f t="shared" si="19"/>
        <v>positive</v>
      </c>
    </row>
    <row r="23" spans="1:24" ht="15">
      <c r="A23" s="5" t="s">
        <v>63</v>
      </c>
      <c r="B23" s="7" t="s">
        <v>64</v>
      </c>
      <c r="D23">
        <f t="shared" si="0"/>
        <v>0</v>
      </c>
      <c r="E23">
        <f t="shared" si="1"/>
        <v>0</v>
      </c>
      <c r="F23">
        <f t="shared" si="2"/>
        <v>1</v>
      </c>
      <c r="G23">
        <f t="shared" si="3"/>
        <v>0</v>
      </c>
      <c r="H23">
        <f t="shared" si="4"/>
        <v>0</v>
      </c>
      <c r="I23">
        <f t="shared" si="5"/>
        <v>0</v>
      </c>
      <c r="J23">
        <f t="shared" si="6"/>
        <v>0</v>
      </c>
      <c r="K23">
        <f t="shared" si="7"/>
        <v>1</v>
      </c>
      <c r="L23">
        <f t="shared" si="8"/>
        <v>0</v>
      </c>
      <c r="M23">
        <f t="shared" si="9"/>
        <v>0</v>
      </c>
      <c r="N23">
        <f t="shared" si="10"/>
        <v>0</v>
      </c>
      <c r="O23">
        <f t="shared" si="11"/>
        <v>0</v>
      </c>
      <c r="P23">
        <f t="shared" si="12"/>
        <v>0</v>
      </c>
      <c r="Q23">
        <f t="shared" si="13"/>
        <v>0</v>
      </c>
      <c r="R23">
        <f t="shared" si="14"/>
        <v>0</v>
      </c>
      <c r="S23">
        <f t="shared" si="15"/>
        <v>0</v>
      </c>
      <c r="T23">
        <f t="shared" si="16"/>
        <v>0</v>
      </c>
      <c r="U23">
        <f t="shared" si="17"/>
        <v>0</v>
      </c>
      <c r="V23">
        <f t="shared" si="18"/>
        <v>0</v>
      </c>
      <c r="X23" t="str">
        <f t="shared" si="19"/>
        <v>positive</v>
      </c>
    </row>
    <row r="24" spans="1:24" ht="15">
      <c r="A24" s="5" t="s">
        <v>65</v>
      </c>
      <c r="B24" s="7" t="s">
        <v>43</v>
      </c>
      <c r="D24">
        <f t="shared" si="0"/>
        <v>0</v>
      </c>
      <c r="E24">
        <f t="shared" si="1"/>
        <v>1</v>
      </c>
      <c r="F24">
        <f t="shared" si="2"/>
        <v>0</v>
      </c>
      <c r="G24">
        <f t="shared" si="3"/>
        <v>1</v>
      </c>
      <c r="H24">
        <f t="shared" si="4"/>
        <v>0</v>
      </c>
      <c r="I24">
        <f t="shared" si="5"/>
        <v>0</v>
      </c>
      <c r="J24">
        <f t="shared" si="6"/>
        <v>0</v>
      </c>
      <c r="K24">
        <f t="shared" si="7"/>
        <v>0</v>
      </c>
      <c r="L24">
        <f t="shared" si="8"/>
        <v>0</v>
      </c>
      <c r="M24">
        <f t="shared" si="9"/>
        <v>0</v>
      </c>
      <c r="N24">
        <f t="shared" si="10"/>
        <v>0</v>
      </c>
      <c r="O24">
        <f t="shared" si="11"/>
        <v>0</v>
      </c>
      <c r="P24">
        <f t="shared" si="12"/>
        <v>0</v>
      </c>
      <c r="Q24">
        <f t="shared" si="13"/>
        <v>0</v>
      </c>
      <c r="R24">
        <f t="shared" si="14"/>
        <v>0</v>
      </c>
      <c r="S24">
        <f t="shared" si="15"/>
        <v>0</v>
      </c>
      <c r="T24">
        <f t="shared" si="16"/>
        <v>0</v>
      </c>
      <c r="U24">
        <f t="shared" si="17"/>
        <v>0</v>
      </c>
      <c r="V24">
        <f t="shared" si="18"/>
        <v>0</v>
      </c>
      <c r="X24" t="str">
        <f t="shared" si="19"/>
        <v>positive</v>
      </c>
    </row>
    <row r="25" spans="1:24" ht="15">
      <c r="A25" s="5" t="s">
        <v>66</v>
      </c>
      <c r="B25" s="7" t="s">
        <v>37</v>
      </c>
      <c r="D25">
        <f t="shared" si="0"/>
        <v>0</v>
      </c>
      <c r="E25">
        <f t="shared" si="1"/>
        <v>0</v>
      </c>
      <c r="F25">
        <f t="shared" si="2"/>
        <v>0</v>
      </c>
      <c r="G25">
        <f t="shared" si="3"/>
        <v>1</v>
      </c>
      <c r="H25">
        <f t="shared" si="4"/>
        <v>0</v>
      </c>
      <c r="I25">
        <f t="shared" si="5"/>
        <v>0</v>
      </c>
      <c r="J25">
        <f t="shared" si="6"/>
        <v>0</v>
      </c>
      <c r="K25">
        <f t="shared" si="7"/>
        <v>0</v>
      </c>
      <c r="L25">
        <f t="shared" si="8"/>
        <v>0</v>
      </c>
      <c r="M25">
        <f t="shared" si="9"/>
        <v>0</v>
      </c>
      <c r="N25">
        <f t="shared" si="10"/>
        <v>0</v>
      </c>
      <c r="O25">
        <f t="shared" si="11"/>
        <v>0</v>
      </c>
      <c r="P25">
        <f t="shared" si="12"/>
        <v>0</v>
      </c>
      <c r="Q25">
        <f t="shared" si="13"/>
        <v>0</v>
      </c>
      <c r="R25">
        <f t="shared" si="14"/>
        <v>0</v>
      </c>
      <c r="S25">
        <f t="shared" si="15"/>
        <v>0</v>
      </c>
      <c r="T25">
        <f t="shared" si="16"/>
        <v>0</v>
      </c>
      <c r="U25">
        <f t="shared" si="17"/>
        <v>0</v>
      </c>
      <c r="V25">
        <f t="shared" si="18"/>
        <v>0</v>
      </c>
      <c r="X25" t="str">
        <f t="shared" si="19"/>
        <v>positive</v>
      </c>
    </row>
    <row r="26" spans="1:24" ht="29.4">
      <c r="A26" s="5" t="s">
        <v>67</v>
      </c>
      <c r="B26" s="6" t="s">
        <v>68</v>
      </c>
      <c r="D26">
        <f t="shared" si="0"/>
        <v>0</v>
      </c>
      <c r="E26">
        <f t="shared" si="1"/>
        <v>0</v>
      </c>
      <c r="F26">
        <f t="shared" si="2"/>
        <v>0</v>
      </c>
      <c r="G26">
        <f t="shared" si="3"/>
        <v>0</v>
      </c>
      <c r="H26">
        <f t="shared" si="4"/>
        <v>0</v>
      </c>
      <c r="I26">
        <f t="shared" si="5"/>
        <v>0</v>
      </c>
      <c r="J26">
        <f t="shared" si="6"/>
        <v>1</v>
      </c>
      <c r="K26">
        <f t="shared" si="7"/>
        <v>0</v>
      </c>
      <c r="L26">
        <f t="shared" si="8"/>
        <v>0</v>
      </c>
      <c r="M26">
        <f t="shared" si="9"/>
        <v>0</v>
      </c>
      <c r="N26">
        <f t="shared" si="10"/>
        <v>0</v>
      </c>
      <c r="O26">
        <f t="shared" si="11"/>
        <v>0</v>
      </c>
      <c r="P26">
        <f t="shared" si="12"/>
        <v>0</v>
      </c>
      <c r="Q26">
        <f t="shared" si="13"/>
        <v>0</v>
      </c>
      <c r="R26">
        <f t="shared" si="14"/>
        <v>0</v>
      </c>
      <c r="S26">
        <f t="shared" si="15"/>
        <v>0</v>
      </c>
      <c r="T26">
        <f t="shared" si="16"/>
        <v>0</v>
      </c>
      <c r="U26">
        <f t="shared" si="17"/>
        <v>0</v>
      </c>
      <c r="V26">
        <f t="shared" si="18"/>
        <v>0</v>
      </c>
      <c r="X26" t="str">
        <f t="shared" si="19"/>
        <v>positive</v>
      </c>
    </row>
    <row r="27" spans="1:24" ht="15">
      <c r="A27" s="5" t="s">
        <v>69</v>
      </c>
      <c r="B27" s="7" t="s">
        <v>56</v>
      </c>
      <c r="D27">
        <f t="shared" si="0"/>
        <v>0</v>
      </c>
      <c r="E27">
        <f t="shared" si="1"/>
        <v>1</v>
      </c>
      <c r="F27">
        <f t="shared" si="2"/>
        <v>0</v>
      </c>
      <c r="G27">
        <f t="shared" si="3"/>
        <v>0</v>
      </c>
      <c r="H27">
        <f t="shared" si="4"/>
        <v>0</v>
      </c>
      <c r="I27">
        <f t="shared" si="5"/>
        <v>0</v>
      </c>
      <c r="J27">
        <f t="shared" si="6"/>
        <v>0</v>
      </c>
      <c r="K27">
        <f t="shared" si="7"/>
        <v>0</v>
      </c>
      <c r="L27">
        <f t="shared" si="8"/>
        <v>0</v>
      </c>
      <c r="M27">
        <f t="shared" si="9"/>
        <v>0</v>
      </c>
      <c r="N27">
        <f t="shared" si="10"/>
        <v>0</v>
      </c>
      <c r="O27">
        <f t="shared" si="11"/>
        <v>0</v>
      </c>
      <c r="P27">
        <f t="shared" si="12"/>
        <v>0</v>
      </c>
      <c r="Q27">
        <f t="shared" si="13"/>
        <v>0</v>
      </c>
      <c r="R27">
        <f t="shared" si="14"/>
        <v>0</v>
      </c>
      <c r="S27">
        <f t="shared" si="15"/>
        <v>0</v>
      </c>
      <c r="T27">
        <f t="shared" si="16"/>
        <v>0</v>
      </c>
      <c r="U27">
        <f t="shared" si="17"/>
        <v>0</v>
      </c>
      <c r="V27">
        <f t="shared" si="18"/>
        <v>0</v>
      </c>
      <c r="X27" t="str">
        <f t="shared" si="19"/>
        <v>positive</v>
      </c>
    </row>
    <row r="28" spans="1:24" ht="15">
      <c r="A28" s="5" t="s">
        <v>70</v>
      </c>
      <c r="B28" s="7" t="s">
        <v>71</v>
      </c>
      <c r="D28">
        <f t="shared" si="0"/>
        <v>0</v>
      </c>
      <c r="E28">
        <f t="shared" si="1"/>
        <v>0</v>
      </c>
      <c r="F28">
        <f t="shared" si="2"/>
        <v>0</v>
      </c>
      <c r="G28">
        <f t="shared" si="3"/>
        <v>0</v>
      </c>
      <c r="H28">
        <f t="shared" si="4"/>
        <v>0</v>
      </c>
      <c r="I28">
        <f t="shared" si="5"/>
        <v>0</v>
      </c>
      <c r="J28">
        <f t="shared" si="6"/>
        <v>0</v>
      </c>
      <c r="K28">
        <f t="shared" si="7"/>
        <v>0</v>
      </c>
      <c r="L28">
        <f t="shared" si="8"/>
        <v>0</v>
      </c>
      <c r="M28">
        <f t="shared" si="9"/>
        <v>0</v>
      </c>
      <c r="N28">
        <f t="shared" si="10"/>
        <v>0</v>
      </c>
      <c r="O28">
        <f t="shared" si="11"/>
        <v>0</v>
      </c>
      <c r="P28">
        <f t="shared" si="12"/>
        <v>0</v>
      </c>
      <c r="Q28">
        <f t="shared" si="13"/>
        <v>0</v>
      </c>
      <c r="R28">
        <f t="shared" si="14"/>
        <v>0</v>
      </c>
      <c r="S28">
        <f t="shared" si="15"/>
        <v>0</v>
      </c>
      <c r="T28">
        <f t="shared" si="16"/>
        <v>0</v>
      </c>
      <c r="U28">
        <f t="shared" si="17"/>
        <v>0</v>
      </c>
      <c r="V28">
        <f t="shared" si="18"/>
        <v>0</v>
      </c>
      <c r="X28" t="str">
        <f t="shared" si="19"/>
        <v>nuetral</v>
      </c>
    </row>
    <row r="29" spans="1:24" ht="15">
      <c r="A29" s="5" t="s">
        <v>72</v>
      </c>
      <c r="B29" s="7" t="s">
        <v>73</v>
      </c>
      <c r="D29">
        <f t="shared" si="0"/>
        <v>0</v>
      </c>
      <c r="E29">
        <f t="shared" si="1"/>
        <v>0</v>
      </c>
      <c r="F29">
        <f t="shared" si="2"/>
        <v>0</v>
      </c>
      <c r="G29">
        <f t="shared" si="3"/>
        <v>0</v>
      </c>
      <c r="H29">
        <f t="shared" si="4"/>
        <v>0</v>
      </c>
      <c r="I29">
        <f t="shared" si="5"/>
        <v>0</v>
      </c>
      <c r="J29">
        <f t="shared" si="6"/>
        <v>1</v>
      </c>
      <c r="K29">
        <f t="shared" si="7"/>
        <v>0</v>
      </c>
      <c r="L29">
        <f t="shared" si="8"/>
        <v>0</v>
      </c>
      <c r="M29">
        <f t="shared" si="9"/>
        <v>0</v>
      </c>
      <c r="N29">
        <f t="shared" si="10"/>
        <v>0</v>
      </c>
      <c r="O29">
        <f t="shared" si="11"/>
        <v>0</v>
      </c>
      <c r="P29">
        <f t="shared" si="12"/>
        <v>0</v>
      </c>
      <c r="Q29">
        <f t="shared" si="13"/>
        <v>0</v>
      </c>
      <c r="R29">
        <f t="shared" si="14"/>
        <v>0</v>
      </c>
      <c r="S29">
        <f t="shared" si="15"/>
        <v>0</v>
      </c>
      <c r="T29">
        <f t="shared" si="16"/>
        <v>0</v>
      </c>
      <c r="U29">
        <f t="shared" si="17"/>
        <v>0</v>
      </c>
      <c r="V29">
        <f t="shared" si="18"/>
        <v>0</v>
      </c>
      <c r="X29" t="str">
        <f t="shared" si="19"/>
        <v>positive</v>
      </c>
    </row>
    <row r="30" spans="1:24" ht="15">
      <c r="A30" s="5" t="s">
        <v>74</v>
      </c>
      <c r="B30" s="7" t="s">
        <v>75</v>
      </c>
      <c r="D30">
        <f t="shared" si="0"/>
        <v>0</v>
      </c>
      <c r="E30">
        <f t="shared" si="1"/>
        <v>0</v>
      </c>
      <c r="F30">
        <f t="shared" si="2"/>
        <v>0</v>
      </c>
      <c r="G30">
        <f t="shared" si="3"/>
        <v>0</v>
      </c>
      <c r="H30">
        <f t="shared" si="4"/>
        <v>0</v>
      </c>
      <c r="I30">
        <f t="shared" si="5"/>
        <v>0</v>
      </c>
      <c r="J30">
        <f t="shared" si="6"/>
        <v>0</v>
      </c>
      <c r="K30">
        <f t="shared" si="7"/>
        <v>0</v>
      </c>
      <c r="L30">
        <f t="shared" si="8"/>
        <v>0</v>
      </c>
      <c r="M30">
        <f t="shared" si="9"/>
        <v>0</v>
      </c>
      <c r="N30">
        <f t="shared" si="10"/>
        <v>0</v>
      </c>
      <c r="O30">
        <f t="shared" si="11"/>
        <v>1</v>
      </c>
      <c r="P30">
        <f t="shared" si="12"/>
        <v>0</v>
      </c>
      <c r="Q30">
        <f t="shared" si="13"/>
        <v>0</v>
      </c>
      <c r="R30">
        <f t="shared" si="14"/>
        <v>0</v>
      </c>
      <c r="S30">
        <f t="shared" si="15"/>
        <v>0</v>
      </c>
      <c r="T30">
        <f t="shared" si="16"/>
        <v>0</v>
      </c>
      <c r="U30">
        <f t="shared" si="17"/>
        <v>0</v>
      </c>
      <c r="V30">
        <f t="shared" si="18"/>
        <v>0</v>
      </c>
      <c r="X30" t="str">
        <f t="shared" si="19"/>
        <v>positive</v>
      </c>
    </row>
    <row r="31" spans="1:24" ht="15">
      <c r="A31" s="5" t="s">
        <v>76</v>
      </c>
      <c r="B31" s="7" t="s">
        <v>77</v>
      </c>
      <c r="D31">
        <f t="shared" si="0"/>
        <v>0</v>
      </c>
      <c r="E31">
        <f t="shared" si="1"/>
        <v>0</v>
      </c>
      <c r="F31">
        <f t="shared" si="2"/>
        <v>0</v>
      </c>
      <c r="G31">
        <f t="shared" si="3"/>
        <v>0</v>
      </c>
      <c r="H31">
        <f t="shared" si="4"/>
        <v>0</v>
      </c>
      <c r="I31">
        <f t="shared" si="5"/>
        <v>0</v>
      </c>
      <c r="J31">
        <f t="shared" si="6"/>
        <v>0</v>
      </c>
      <c r="K31">
        <f t="shared" si="7"/>
        <v>0</v>
      </c>
      <c r="L31">
        <f t="shared" si="8"/>
        <v>0</v>
      </c>
      <c r="M31">
        <f t="shared" si="9"/>
        <v>0</v>
      </c>
      <c r="N31">
        <f t="shared" si="10"/>
        <v>0</v>
      </c>
      <c r="O31">
        <f t="shared" si="11"/>
        <v>0</v>
      </c>
      <c r="P31">
        <f t="shared" si="12"/>
        <v>1</v>
      </c>
      <c r="Q31">
        <f t="shared" si="13"/>
        <v>0</v>
      </c>
      <c r="R31">
        <f t="shared" si="14"/>
        <v>0</v>
      </c>
      <c r="S31">
        <f t="shared" si="15"/>
        <v>0</v>
      </c>
      <c r="T31">
        <f t="shared" si="16"/>
        <v>0</v>
      </c>
      <c r="U31">
        <f t="shared" si="17"/>
        <v>0</v>
      </c>
      <c r="V31">
        <f t="shared" si="18"/>
        <v>0</v>
      </c>
      <c r="X31" t="str">
        <f t="shared" si="19"/>
        <v>positive</v>
      </c>
    </row>
    <row r="32" spans="1:24" ht="15">
      <c r="A32" s="5" t="s">
        <v>78</v>
      </c>
      <c r="B32" s="7" t="s">
        <v>79</v>
      </c>
      <c r="D32">
        <f t="shared" si="0"/>
        <v>0</v>
      </c>
      <c r="E32">
        <f t="shared" si="1"/>
        <v>0</v>
      </c>
      <c r="F32">
        <f t="shared" si="2"/>
        <v>0</v>
      </c>
      <c r="G32">
        <f t="shared" si="3"/>
        <v>0</v>
      </c>
      <c r="H32">
        <f t="shared" si="4"/>
        <v>0</v>
      </c>
      <c r="I32">
        <f t="shared" si="5"/>
        <v>0</v>
      </c>
      <c r="J32">
        <f t="shared" si="6"/>
        <v>0</v>
      </c>
      <c r="K32">
        <f t="shared" si="7"/>
        <v>0</v>
      </c>
      <c r="L32">
        <f t="shared" si="8"/>
        <v>0</v>
      </c>
      <c r="M32">
        <f t="shared" si="9"/>
        <v>0</v>
      </c>
      <c r="N32">
        <f t="shared" si="10"/>
        <v>0</v>
      </c>
      <c r="O32">
        <f t="shared" si="11"/>
        <v>0</v>
      </c>
      <c r="P32">
        <f t="shared" si="12"/>
        <v>1</v>
      </c>
      <c r="Q32">
        <f t="shared" si="13"/>
        <v>0</v>
      </c>
      <c r="R32">
        <f t="shared" si="14"/>
        <v>0</v>
      </c>
      <c r="S32">
        <f t="shared" si="15"/>
        <v>0</v>
      </c>
      <c r="T32">
        <f t="shared" si="16"/>
        <v>0</v>
      </c>
      <c r="U32">
        <f t="shared" si="17"/>
        <v>0</v>
      </c>
      <c r="V32">
        <f t="shared" si="18"/>
        <v>0</v>
      </c>
      <c r="X32" t="str">
        <f t="shared" si="19"/>
        <v>positive</v>
      </c>
    </row>
    <row r="33" spans="1:24" ht="43.8">
      <c r="A33" s="5" t="s">
        <v>80</v>
      </c>
      <c r="B33" s="6" t="s">
        <v>81</v>
      </c>
      <c r="D33">
        <f t="shared" si="0"/>
        <v>0</v>
      </c>
      <c r="E33">
        <f t="shared" si="1"/>
        <v>0</v>
      </c>
      <c r="F33">
        <f t="shared" si="2"/>
        <v>0</v>
      </c>
      <c r="G33">
        <f t="shared" si="3"/>
        <v>1</v>
      </c>
      <c r="H33">
        <f t="shared" si="4"/>
        <v>0</v>
      </c>
      <c r="I33">
        <f t="shared" si="5"/>
        <v>0</v>
      </c>
      <c r="J33">
        <f t="shared" si="6"/>
        <v>0</v>
      </c>
      <c r="K33">
        <f t="shared" si="7"/>
        <v>1</v>
      </c>
      <c r="L33">
        <f t="shared" si="8"/>
        <v>0</v>
      </c>
      <c r="M33">
        <f t="shared" si="9"/>
        <v>0</v>
      </c>
      <c r="N33">
        <f t="shared" si="10"/>
        <v>0</v>
      </c>
      <c r="O33">
        <f t="shared" si="11"/>
        <v>0</v>
      </c>
      <c r="P33">
        <f t="shared" si="12"/>
        <v>0</v>
      </c>
      <c r="Q33">
        <f t="shared" si="13"/>
        <v>0</v>
      </c>
      <c r="R33">
        <f t="shared" si="14"/>
        <v>0</v>
      </c>
      <c r="S33">
        <f t="shared" si="15"/>
        <v>0</v>
      </c>
      <c r="T33">
        <f t="shared" si="16"/>
        <v>0</v>
      </c>
      <c r="U33">
        <f t="shared" si="17"/>
        <v>0</v>
      </c>
      <c r="V33">
        <f t="shared" si="18"/>
        <v>0</v>
      </c>
      <c r="X33" t="str">
        <f t="shared" si="19"/>
        <v>positive</v>
      </c>
    </row>
    <row r="34" spans="1:24" ht="15">
      <c r="A34" s="5" t="s">
        <v>82</v>
      </c>
      <c r="B34" s="6" t="s">
        <v>25</v>
      </c>
      <c r="D34">
        <f t="shared" si="0"/>
        <v>0</v>
      </c>
      <c r="E34">
        <f t="shared" si="1"/>
        <v>1</v>
      </c>
      <c r="F34">
        <f t="shared" si="2"/>
        <v>0</v>
      </c>
      <c r="G34">
        <f t="shared" si="3"/>
        <v>0</v>
      </c>
      <c r="H34">
        <f t="shared" si="4"/>
        <v>0</v>
      </c>
      <c r="I34">
        <f t="shared" si="5"/>
        <v>0</v>
      </c>
      <c r="J34">
        <f t="shared" si="6"/>
        <v>0</v>
      </c>
      <c r="K34">
        <f t="shared" si="7"/>
        <v>0</v>
      </c>
      <c r="L34">
        <f t="shared" si="8"/>
        <v>0</v>
      </c>
      <c r="M34">
        <f t="shared" si="9"/>
        <v>0</v>
      </c>
      <c r="N34">
        <f t="shared" si="10"/>
        <v>0</v>
      </c>
      <c r="O34">
        <f t="shared" si="11"/>
        <v>0</v>
      </c>
      <c r="P34">
        <f t="shared" si="12"/>
        <v>0</v>
      </c>
      <c r="Q34">
        <f t="shared" si="13"/>
        <v>0</v>
      </c>
      <c r="R34">
        <f t="shared" si="14"/>
        <v>0</v>
      </c>
      <c r="S34">
        <f t="shared" si="15"/>
        <v>0</v>
      </c>
      <c r="T34">
        <f t="shared" si="16"/>
        <v>0</v>
      </c>
      <c r="U34">
        <f t="shared" si="17"/>
        <v>0</v>
      </c>
      <c r="V34">
        <f t="shared" si="18"/>
        <v>0</v>
      </c>
      <c r="X34" t="str">
        <f t="shared" si="19"/>
        <v>positive</v>
      </c>
    </row>
    <row r="35" spans="1:24" ht="15">
      <c r="A35" s="5" t="s">
        <v>83</v>
      </c>
      <c r="B35" s="6" t="s">
        <v>84</v>
      </c>
      <c r="D35">
        <f t="shared" si="0"/>
        <v>0</v>
      </c>
      <c r="E35">
        <f t="shared" si="1"/>
        <v>0</v>
      </c>
      <c r="F35">
        <f t="shared" si="2"/>
        <v>0</v>
      </c>
      <c r="G35">
        <f t="shared" si="3"/>
        <v>0</v>
      </c>
      <c r="H35">
        <f t="shared" si="4"/>
        <v>0</v>
      </c>
      <c r="I35">
        <f t="shared" si="5"/>
        <v>0</v>
      </c>
      <c r="J35">
        <f t="shared" si="6"/>
        <v>0</v>
      </c>
      <c r="K35">
        <f t="shared" si="7"/>
        <v>0</v>
      </c>
      <c r="L35">
        <f t="shared" si="8"/>
        <v>0</v>
      </c>
      <c r="M35">
        <f t="shared" si="9"/>
        <v>0</v>
      </c>
      <c r="N35">
        <f t="shared" si="10"/>
        <v>0</v>
      </c>
      <c r="O35">
        <f t="shared" si="11"/>
        <v>1</v>
      </c>
      <c r="P35">
        <f t="shared" si="12"/>
        <v>0</v>
      </c>
      <c r="Q35">
        <f t="shared" si="13"/>
        <v>0</v>
      </c>
      <c r="R35">
        <f t="shared" si="14"/>
        <v>0</v>
      </c>
      <c r="S35">
        <f t="shared" si="15"/>
        <v>0</v>
      </c>
      <c r="T35">
        <f t="shared" si="16"/>
        <v>0</v>
      </c>
      <c r="U35">
        <f t="shared" si="17"/>
        <v>0</v>
      </c>
      <c r="V35">
        <f t="shared" si="18"/>
        <v>0</v>
      </c>
      <c r="X35" t="str">
        <f t="shared" si="19"/>
        <v>positive</v>
      </c>
    </row>
    <row r="36" spans="1:24" ht="43.8">
      <c r="A36" s="5" t="s">
        <v>85</v>
      </c>
      <c r="B36" s="6" t="s">
        <v>86</v>
      </c>
      <c r="D36">
        <f t="shared" si="0"/>
        <v>1</v>
      </c>
      <c r="E36">
        <f t="shared" si="1"/>
        <v>0</v>
      </c>
      <c r="F36">
        <f t="shared" si="2"/>
        <v>0</v>
      </c>
      <c r="G36">
        <f t="shared" si="3"/>
        <v>0</v>
      </c>
      <c r="H36">
        <f t="shared" si="4"/>
        <v>0</v>
      </c>
      <c r="I36">
        <f t="shared" si="5"/>
        <v>0</v>
      </c>
      <c r="J36">
        <f t="shared" si="6"/>
        <v>0</v>
      </c>
      <c r="K36">
        <f t="shared" si="7"/>
        <v>0</v>
      </c>
      <c r="L36">
        <f t="shared" si="8"/>
        <v>0</v>
      </c>
      <c r="M36">
        <f t="shared" si="9"/>
        <v>0</v>
      </c>
      <c r="N36">
        <f t="shared" si="10"/>
        <v>0</v>
      </c>
      <c r="O36">
        <f t="shared" si="11"/>
        <v>0</v>
      </c>
      <c r="P36">
        <f t="shared" si="12"/>
        <v>0</v>
      </c>
      <c r="Q36">
        <f t="shared" si="13"/>
        <v>0</v>
      </c>
      <c r="R36">
        <f t="shared" si="14"/>
        <v>0</v>
      </c>
      <c r="S36">
        <f t="shared" si="15"/>
        <v>0</v>
      </c>
      <c r="T36">
        <f t="shared" si="16"/>
        <v>0</v>
      </c>
      <c r="U36">
        <f t="shared" si="17"/>
        <v>0</v>
      </c>
      <c r="V36">
        <f t="shared" si="18"/>
        <v>0</v>
      </c>
      <c r="X36" t="str">
        <f t="shared" si="19"/>
        <v>positive</v>
      </c>
    </row>
    <row r="37" spans="1:24" ht="15">
      <c r="A37" s="5" t="s">
        <v>87</v>
      </c>
      <c r="B37" s="7" t="s">
        <v>88</v>
      </c>
      <c r="D37">
        <f t="shared" si="0"/>
        <v>0</v>
      </c>
      <c r="E37">
        <f t="shared" si="1"/>
        <v>0</v>
      </c>
      <c r="F37">
        <f t="shared" si="2"/>
        <v>0</v>
      </c>
      <c r="G37">
        <f t="shared" si="3"/>
        <v>0</v>
      </c>
      <c r="H37">
        <f t="shared" si="4"/>
        <v>0</v>
      </c>
      <c r="I37">
        <f t="shared" si="5"/>
        <v>0</v>
      </c>
      <c r="J37">
        <f t="shared" si="6"/>
        <v>0</v>
      </c>
      <c r="K37">
        <f t="shared" si="7"/>
        <v>0</v>
      </c>
      <c r="L37">
        <f t="shared" si="8"/>
        <v>0</v>
      </c>
      <c r="M37">
        <f t="shared" si="9"/>
        <v>1</v>
      </c>
      <c r="N37">
        <f t="shared" si="10"/>
        <v>0</v>
      </c>
      <c r="O37">
        <f t="shared" si="11"/>
        <v>0</v>
      </c>
      <c r="P37">
        <f t="shared" si="12"/>
        <v>0</v>
      </c>
      <c r="Q37">
        <f t="shared" si="13"/>
        <v>0</v>
      </c>
      <c r="R37">
        <f t="shared" si="14"/>
        <v>0</v>
      </c>
      <c r="S37">
        <f t="shared" si="15"/>
        <v>0</v>
      </c>
      <c r="T37">
        <f t="shared" si="16"/>
        <v>0</v>
      </c>
      <c r="U37">
        <f t="shared" si="17"/>
        <v>0</v>
      </c>
      <c r="V37">
        <f t="shared" si="18"/>
        <v>0</v>
      </c>
      <c r="X37" t="str">
        <f t="shared" si="19"/>
        <v>positive</v>
      </c>
    </row>
    <row r="38" spans="1:24" ht="15">
      <c r="A38" s="5" t="s">
        <v>89</v>
      </c>
      <c r="B38" s="7" t="s">
        <v>90</v>
      </c>
      <c r="D38">
        <f t="shared" si="0"/>
        <v>0</v>
      </c>
      <c r="E38">
        <f t="shared" si="1"/>
        <v>0</v>
      </c>
      <c r="F38">
        <f t="shared" si="2"/>
        <v>0</v>
      </c>
      <c r="G38">
        <f t="shared" si="3"/>
        <v>0</v>
      </c>
      <c r="H38">
        <f t="shared" si="4"/>
        <v>0</v>
      </c>
      <c r="I38">
        <f t="shared" si="5"/>
        <v>0</v>
      </c>
      <c r="J38">
        <f t="shared" si="6"/>
        <v>0</v>
      </c>
      <c r="K38">
        <f t="shared" si="7"/>
        <v>0</v>
      </c>
      <c r="L38">
        <f t="shared" si="8"/>
        <v>0</v>
      </c>
      <c r="M38">
        <f t="shared" si="9"/>
        <v>0</v>
      </c>
      <c r="N38">
        <f t="shared" si="10"/>
        <v>0</v>
      </c>
      <c r="O38">
        <f t="shared" si="11"/>
        <v>0</v>
      </c>
      <c r="P38">
        <f t="shared" si="12"/>
        <v>0</v>
      </c>
      <c r="Q38">
        <f t="shared" si="13"/>
        <v>0</v>
      </c>
      <c r="R38">
        <f t="shared" si="14"/>
        <v>0</v>
      </c>
      <c r="S38">
        <f t="shared" si="15"/>
        <v>0</v>
      </c>
      <c r="T38">
        <f t="shared" si="16"/>
        <v>0</v>
      </c>
      <c r="U38">
        <f t="shared" si="17"/>
        <v>0</v>
      </c>
      <c r="V38">
        <f t="shared" si="18"/>
        <v>0</v>
      </c>
      <c r="X38" t="str">
        <f t="shared" si="19"/>
        <v>nuetral</v>
      </c>
    </row>
    <row r="39" spans="1:24" ht="15">
      <c r="A39" s="5" t="s">
        <v>91</v>
      </c>
      <c r="B39" s="6" t="s">
        <v>92</v>
      </c>
      <c r="D39">
        <f t="shared" si="0"/>
        <v>0</v>
      </c>
      <c r="E39">
        <f t="shared" si="1"/>
        <v>0</v>
      </c>
      <c r="F39">
        <f t="shared" si="2"/>
        <v>0</v>
      </c>
      <c r="G39">
        <f t="shared" si="3"/>
        <v>0</v>
      </c>
      <c r="H39">
        <f t="shared" si="4"/>
        <v>0</v>
      </c>
      <c r="I39">
        <f t="shared" si="5"/>
        <v>0</v>
      </c>
      <c r="J39">
        <f t="shared" si="6"/>
        <v>0</v>
      </c>
      <c r="K39">
        <f t="shared" si="7"/>
        <v>0</v>
      </c>
      <c r="L39">
        <f t="shared" si="8"/>
        <v>0</v>
      </c>
      <c r="M39">
        <f t="shared" si="9"/>
        <v>0</v>
      </c>
      <c r="N39">
        <f t="shared" si="10"/>
        <v>0</v>
      </c>
      <c r="O39">
        <f t="shared" si="11"/>
        <v>1</v>
      </c>
      <c r="P39">
        <f t="shared" si="12"/>
        <v>0</v>
      </c>
      <c r="Q39">
        <f t="shared" si="13"/>
        <v>0</v>
      </c>
      <c r="R39">
        <f t="shared" si="14"/>
        <v>0</v>
      </c>
      <c r="S39">
        <f t="shared" si="15"/>
        <v>0</v>
      </c>
      <c r="T39">
        <f t="shared" si="16"/>
        <v>0</v>
      </c>
      <c r="U39">
        <f t="shared" si="17"/>
        <v>0</v>
      </c>
      <c r="V39">
        <f t="shared" si="18"/>
        <v>0</v>
      </c>
      <c r="X39" t="str">
        <f t="shared" si="19"/>
        <v>positive</v>
      </c>
    </row>
    <row r="40" spans="1:24" ht="15">
      <c r="A40" s="5" t="s">
        <v>49</v>
      </c>
      <c r="B40" s="7" t="s">
        <v>77</v>
      </c>
      <c r="D40">
        <f t="shared" si="0"/>
        <v>0</v>
      </c>
      <c r="E40">
        <f t="shared" si="1"/>
        <v>0</v>
      </c>
      <c r="F40">
        <f t="shared" si="2"/>
        <v>0</v>
      </c>
      <c r="G40">
        <f t="shared" si="3"/>
        <v>0</v>
      </c>
      <c r="H40">
        <f t="shared" si="4"/>
        <v>0</v>
      </c>
      <c r="I40">
        <f t="shared" si="5"/>
        <v>0</v>
      </c>
      <c r="J40">
        <f t="shared" si="6"/>
        <v>0</v>
      </c>
      <c r="K40">
        <f t="shared" si="7"/>
        <v>0</v>
      </c>
      <c r="L40">
        <f t="shared" si="8"/>
        <v>0</v>
      </c>
      <c r="M40">
        <f t="shared" si="9"/>
        <v>0</v>
      </c>
      <c r="N40">
        <f t="shared" si="10"/>
        <v>0</v>
      </c>
      <c r="O40">
        <f t="shared" si="11"/>
        <v>0</v>
      </c>
      <c r="P40">
        <f t="shared" si="12"/>
        <v>1</v>
      </c>
      <c r="Q40">
        <f t="shared" si="13"/>
        <v>0</v>
      </c>
      <c r="R40">
        <f t="shared" si="14"/>
        <v>0</v>
      </c>
      <c r="S40">
        <f t="shared" si="15"/>
        <v>0</v>
      </c>
      <c r="T40">
        <f t="shared" si="16"/>
        <v>0</v>
      </c>
      <c r="U40">
        <f t="shared" si="17"/>
        <v>0</v>
      </c>
      <c r="V40">
        <f t="shared" si="18"/>
        <v>0</v>
      </c>
      <c r="X40" t="str">
        <f t="shared" si="19"/>
        <v>positive</v>
      </c>
    </row>
    <row r="41" spans="1:24" ht="29.4">
      <c r="A41" s="5" t="s">
        <v>93</v>
      </c>
      <c r="B41" s="6" t="s">
        <v>94</v>
      </c>
      <c r="D41">
        <f t="shared" si="0"/>
        <v>0</v>
      </c>
      <c r="E41">
        <f t="shared" si="1"/>
        <v>0</v>
      </c>
      <c r="F41">
        <f t="shared" si="2"/>
        <v>0</v>
      </c>
      <c r="G41">
        <f t="shared" si="3"/>
        <v>0</v>
      </c>
      <c r="H41">
        <f t="shared" si="4"/>
        <v>0</v>
      </c>
      <c r="I41">
        <f t="shared" si="5"/>
        <v>0</v>
      </c>
      <c r="J41">
        <f t="shared" si="6"/>
        <v>0</v>
      </c>
      <c r="K41">
        <f t="shared" si="7"/>
        <v>1</v>
      </c>
      <c r="L41">
        <f t="shared" si="8"/>
        <v>0</v>
      </c>
      <c r="M41">
        <f t="shared" si="9"/>
        <v>0</v>
      </c>
      <c r="N41">
        <f t="shared" si="10"/>
        <v>0</v>
      </c>
      <c r="O41">
        <f t="shared" si="11"/>
        <v>0</v>
      </c>
      <c r="P41">
        <f t="shared" si="12"/>
        <v>0</v>
      </c>
      <c r="Q41">
        <f t="shared" si="13"/>
        <v>0</v>
      </c>
      <c r="R41">
        <f t="shared" si="14"/>
        <v>0</v>
      </c>
      <c r="S41">
        <f t="shared" si="15"/>
        <v>0</v>
      </c>
      <c r="T41">
        <f t="shared" si="16"/>
        <v>0</v>
      </c>
      <c r="U41">
        <f t="shared" si="17"/>
        <v>0</v>
      </c>
      <c r="V41">
        <f t="shared" si="18"/>
        <v>0</v>
      </c>
      <c r="X41" t="str">
        <f t="shared" si="19"/>
        <v>positive</v>
      </c>
    </row>
    <row r="42" spans="1:24" ht="15">
      <c r="A42" s="5" t="s">
        <v>95</v>
      </c>
      <c r="B42" s="6" t="s">
        <v>96</v>
      </c>
      <c r="D42">
        <f t="shared" si="0"/>
        <v>0</v>
      </c>
      <c r="E42">
        <f t="shared" si="1"/>
        <v>0</v>
      </c>
      <c r="F42">
        <f t="shared" si="2"/>
        <v>0</v>
      </c>
      <c r="G42">
        <f t="shared" si="3"/>
        <v>1</v>
      </c>
      <c r="H42">
        <f t="shared" si="4"/>
        <v>0</v>
      </c>
      <c r="I42">
        <f t="shared" si="5"/>
        <v>0</v>
      </c>
      <c r="J42">
        <f t="shared" si="6"/>
        <v>0</v>
      </c>
      <c r="K42">
        <f t="shared" si="7"/>
        <v>1</v>
      </c>
      <c r="L42">
        <f t="shared" si="8"/>
        <v>0</v>
      </c>
      <c r="M42">
        <f t="shared" si="9"/>
        <v>0</v>
      </c>
      <c r="N42">
        <f t="shared" si="10"/>
        <v>0</v>
      </c>
      <c r="O42">
        <f t="shared" si="11"/>
        <v>0</v>
      </c>
      <c r="P42">
        <f t="shared" si="12"/>
        <v>0</v>
      </c>
      <c r="Q42">
        <f t="shared" si="13"/>
        <v>0</v>
      </c>
      <c r="R42">
        <f t="shared" si="14"/>
        <v>0</v>
      </c>
      <c r="S42">
        <f t="shared" si="15"/>
        <v>0</v>
      </c>
      <c r="T42">
        <f t="shared" si="16"/>
        <v>0</v>
      </c>
      <c r="U42">
        <f t="shared" si="17"/>
        <v>0</v>
      </c>
      <c r="V42">
        <f t="shared" si="18"/>
        <v>0</v>
      </c>
      <c r="X42" t="str">
        <f t="shared" si="19"/>
        <v>positive</v>
      </c>
    </row>
    <row r="43" spans="1:24" ht="15">
      <c r="A43" s="5" t="s">
        <v>97</v>
      </c>
      <c r="B43" s="7" t="s">
        <v>98</v>
      </c>
      <c r="D43">
        <f t="shared" si="0"/>
        <v>0</v>
      </c>
      <c r="E43">
        <f t="shared" si="1"/>
        <v>0</v>
      </c>
      <c r="F43">
        <f t="shared" si="2"/>
        <v>0</v>
      </c>
      <c r="G43">
        <f t="shared" si="3"/>
        <v>0</v>
      </c>
      <c r="H43">
        <f t="shared" si="4"/>
        <v>0</v>
      </c>
      <c r="I43">
        <f t="shared" si="5"/>
        <v>0</v>
      </c>
      <c r="J43">
        <f t="shared" si="6"/>
        <v>0</v>
      </c>
      <c r="K43">
        <f t="shared" si="7"/>
        <v>0</v>
      </c>
      <c r="L43">
        <f t="shared" si="8"/>
        <v>0</v>
      </c>
      <c r="M43">
        <f t="shared" si="9"/>
        <v>0</v>
      </c>
      <c r="N43">
        <f t="shared" si="10"/>
        <v>0</v>
      </c>
      <c r="O43">
        <f t="shared" si="11"/>
        <v>0</v>
      </c>
      <c r="P43">
        <f t="shared" si="12"/>
        <v>0</v>
      </c>
      <c r="Q43">
        <f t="shared" si="13"/>
        <v>0</v>
      </c>
      <c r="R43">
        <f t="shared" si="14"/>
        <v>0</v>
      </c>
      <c r="S43">
        <f t="shared" si="15"/>
        <v>0</v>
      </c>
      <c r="T43">
        <f t="shared" si="16"/>
        <v>0</v>
      </c>
      <c r="U43">
        <f t="shared" si="17"/>
        <v>0</v>
      </c>
      <c r="V43">
        <f t="shared" si="18"/>
        <v>0</v>
      </c>
      <c r="X43" t="str">
        <f t="shared" si="19"/>
        <v>nuetral</v>
      </c>
    </row>
    <row r="44" spans="1:24" ht="29.4">
      <c r="A44" s="5" t="s">
        <v>99</v>
      </c>
      <c r="B44" s="6" t="s">
        <v>100</v>
      </c>
      <c r="D44">
        <f t="shared" si="0"/>
        <v>0</v>
      </c>
      <c r="E44">
        <f t="shared" si="1"/>
        <v>0</v>
      </c>
      <c r="F44">
        <f t="shared" si="2"/>
        <v>0</v>
      </c>
      <c r="G44">
        <f t="shared" si="3"/>
        <v>0</v>
      </c>
      <c r="H44">
        <f t="shared" si="4"/>
        <v>0</v>
      </c>
      <c r="I44">
        <f t="shared" si="5"/>
        <v>0</v>
      </c>
      <c r="J44">
        <f t="shared" si="6"/>
        <v>0</v>
      </c>
      <c r="K44">
        <f t="shared" si="7"/>
        <v>0</v>
      </c>
      <c r="L44">
        <f t="shared" si="8"/>
        <v>0</v>
      </c>
      <c r="M44">
        <f t="shared" si="9"/>
        <v>0</v>
      </c>
      <c r="N44">
        <f t="shared" si="10"/>
        <v>1</v>
      </c>
      <c r="O44">
        <f t="shared" si="11"/>
        <v>0</v>
      </c>
      <c r="P44">
        <f t="shared" si="12"/>
        <v>0</v>
      </c>
      <c r="Q44">
        <f t="shared" si="13"/>
        <v>0</v>
      </c>
      <c r="R44">
        <f t="shared" si="14"/>
        <v>0</v>
      </c>
      <c r="S44">
        <f t="shared" si="15"/>
        <v>0</v>
      </c>
      <c r="T44">
        <f t="shared" si="16"/>
        <v>0</v>
      </c>
      <c r="U44">
        <f t="shared" si="17"/>
        <v>0</v>
      </c>
      <c r="V44">
        <f t="shared" si="18"/>
        <v>0</v>
      </c>
      <c r="X44" t="str">
        <f t="shared" si="19"/>
        <v>positive</v>
      </c>
    </row>
    <row r="45" spans="1:24" ht="15">
      <c r="A45" s="5" t="s">
        <v>101</v>
      </c>
      <c r="B45" s="7" t="s">
        <v>102</v>
      </c>
      <c r="D45">
        <f t="shared" si="0"/>
        <v>0</v>
      </c>
      <c r="E45">
        <f t="shared" si="1"/>
        <v>0</v>
      </c>
      <c r="F45">
        <f t="shared" si="2"/>
        <v>0</v>
      </c>
      <c r="G45">
        <f t="shared" si="3"/>
        <v>0</v>
      </c>
      <c r="H45">
        <f t="shared" si="4"/>
        <v>0</v>
      </c>
      <c r="I45">
        <f t="shared" si="5"/>
        <v>0</v>
      </c>
      <c r="J45">
        <f t="shared" si="6"/>
        <v>1</v>
      </c>
      <c r="K45">
        <f t="shared" si="7"/>
        <v>1</v>
      </c>
      <c r="L45">
        <f t="shared" si="8"/>
        <v>0</v>
      </c>
      <c r="M45">
        <f t="shared" si="9"/>
        <v>0</v>
      </c>
      <c r="N45">
        <f t="shared" si="10"/>
        <v>0</v>
      </c>
      <c r="O45">
        <f t="shared" si="11"/>
        <v>0</v>
      </c>
      <c r="P45">
        <f t="shared" si="12"/>
        <v>0</v>
      </c>
      <c r="Q45">
        <f t="shared" si="13"/>
        <v>0</v>
      </c>
      <c r="R45">
        <f t="shared" si="14"/>
        <v>0</v>
      </c>
      <c r="S45">
        <f t="shared" si="15"/>
        <v>0</v>
      </c>
      <c r="T45">
        <f t="shared" si="16"/>
        <v>0</v>
      </c>
      <c r="U45">
        <f t="shared" si="17"/>
        <v>0</v>
      </c>
      <c r="V45">
        <f t="shared" si="18"/>
        <v>0</v>
      </c>
      <c r="X45" t="str">
        <f t="shared" si="19"/>
        <v>positive</v>
      </c>
    </row>
    <row r="46" spans="1:24" ht="43.8">
      <c r="A46" s="5" t="s">
        <v>103</v>
      </c>
      <c r="B46" s="6" t="s">
        <v>104</v>
      </c>
      <c r="D46">
        <f t="shared" si="0"/>
        <v>0</v>
      </c>
      <c r="E46">
        <f t="shared" si="1"/>
        <v>1</v>
      </c>
      <c r="F46">
        <f t="shared" si="2"/>
        <v>0</v>
      </c>
      <c r="G46">
        <f t="shared" si="3"/>
        <v>1</v>
      </c>
      <c r="H46">
        <f t="shared" si="4"/>
        <v>0</v>
      </c>
      <c r="I46">
        <f t="shared" si="5"/>
        <v>0</v>
      </c>
      <c r="J46">
        <f t="shared" si="6"/>
        <v>0</v>
      </c>
      <c r="K46">
        <f t="shared" si="7"/>
        <v>1</v>
      </c>
      <c r="L46">
        <f t="shared" si="8"/>
        <v>0</v>
      </c>
      <c r="M46">
        <f t="shared" si="9"/>
        <v>0</v>
      </c>
      <c r="N46">
        <f t="shared" si="10"/>
        <v>0</v>
      </c>
      <c r="O46">
        <f t="shared" si="11"/>
        <v>0</v>
      </c>
      <c r="P46">
        <f t="shared" si="12"/>
        <v>0</v>
      </c>
      <c r="Q46">
        <f t="shared" si="13"/>
        <v>0</v>
      </c>
      <c r="R46">
        <f t="shared" si="14"/>
        <v>0</v>
      </c>
      <c r="S46">
        <f t="shared" si="15"/>
        <v>0</v>
      </c>
      <c r="T46">
        <f t="shared" si="16"/>
        <v>0</v>
      </c>
      <c r="U46">
        <f t="shared" si="17"/>
        <v>0</v>
      </c>
      <c r="V46">
        <f t="shared" si="18"/>
        <v>0</v>
      </c>
      <c r="X46" t="str">
        <f t="shared" si="19"/>
        <v>positive</v>
      </c>
    </row>
    <row r="47" spans="1:24" ht="43.8">
      <c r="A47" s="5" t="s">
        <v>105</v>
      </c>
      <c r="B47" s="6" t="s">
        <v>106</v>
      </c>
      <c r="D47">
        <f t="shared" si="0"/>
        <v>0</v>
      </c>
      <c r="E47">
        <f t="shared" si="1"/>
        <v>0</v>
      </c>
      <c r="F47">
        <f t="shared" si="2"/>
        <v>0</v>
      </c>
      <c r="G47">
        <f t="shared" si="3"/>
        <v>0</v>
      </c>
      <c r="H47">
        <f t="shared" si="4"/>
        <v>0</v>
      </c>
      <c r="I47">
        <f t="shared" si="5"/>
        <v>0</v>
      </c>
      <c r="J47">
        <f t="shared" si="6"/>
        <v>0</v>
      </c>
      <c r="K47">
        <f t="shared" si="7"/>
        <v>0</v>
      </c>
      <c r="L47">
        <f t="shared" si="8"/>
        <v>0</v>
      </c>
      <c r="M47">
        <f t="shared" si="9"/>
        <v>0</v>
      </c>
      <c r="N47">
        <f t="shared" si="10"/>
        <v>0</v>
      </c>
      <c r="O47">
        <f t="shared" si="11"/>
        <v>0</v>
      </c>
      <c r="P47">
        <f t="shared" si="12"/>
        <v>0</v>
      </c>
      <c r="Q47">
        <f t="shared" si="13"/>
        <v>0</v>
      </c>
      <c r="R47">
        <f t="shared" si="14"/>
        <v>0</v>
      </c>
      <c r="S47">
        <f t="shared" si="15"/>
        <v>0</v>
      </c>
      <c r="T47">
        <f t="shared" si="16"/>
        <v>0</v>
      </c>
      <c r="U47">
        <f t="shared" si="17"/>
        <v>0</v>
      </c>
      <c r="V47">
        <f t="shared" si="18"/>
        <v>0</v>
      </c>
      <c r="X47" t="str">
        <f t="shared" si="19"/>
        <v>nuetral</v>
      </c>
    </row>
    <row r="48" spans="1:24" ht="29.4">
      <c r="A48" s="5" t="s">
        <v>107</v>
      </c>
      <c r="B48" s="6" t="s">
        <v>108</v>
      </c>
      <c r="D48">
        <f t="shared" si="0"/>
        <v>0</v>
      </c>
      <c r="E48">
        <f t="shared" si="1"/>
        <v>0</v>
      </c>
      <c r="F48">
        <f t="shared" si="2"/>
        <v>0</v>
      </c>
      <c r="G48">
        <f t="shared" si="3"/>
        <v>0</v>
      </c>
      <c r="H48">
        <f t="shared" si="4"/>
        <v>0</v>
      </c>
      <c r="I48">
        <f t="shared" si="5"/>
        <v>0</v>
      </c>
      <c r="J48">
        <f t="shared" si="6"/>
        <v>0</v>
      </c>
      <c r="K48">
        <f t="shared" si="7"/>
        <v>0</v>
      </c>
      <c r="L48">
        <f t="shared" si="8"/>
        <v>0</v>
      </c>
      <c r="M48">
        <f t="shared" si="9"/>
        <v>0</v>
      </c>
      <c r="N48">
        <f t="shared" si="10"/>
        <v>1</v>
      </c>
      <c r="O48">
        <f t="shared" si="11"/>
        <v>0</v>
      </c>
      <c r="P48">
        <f t="shared" si="12"/>
        <v>0</v>
      </c>
      <c r="Q48">
        <f t="shared" si="13"/>
        <v>0</v>
      </c>
      <c r="R48">
        <f t="shared" si="14"/>
        <v>0</v>
      </c>
      <c r="S48">
        <f t="shared" si="15"/>
        <v>0</v>
      </c>
      <c r="T48">
        <f t="shared" si="16"/>
        <v>0</v>
      </c>
      <c r="U48">
        <f t="shared" si="17"/>
        <v>0</v>
      </c>
      <c r="V48">
        <f t="shared" si="18"/>
        <v>0</v>
      </c>
      <c r="X48" t="str">
        <f t="shared" si="19"/>
        <v>positive</v>
      </c>
    </row>
    <row r="49" spans="1:24" ht="15">
      <c r="A49" s="9" t="s">
        <v>109</v>
      </c>
      <c r="B49" s="10" t="s">
        <v>110</v>
      </c>
      <c r="D49">
        <f t="shared" si="0"/>
        <v>0</v>
      </c>
      <c r="E49">
        <f t="shared" si="1"/>
        <v>0</v>
      </c>
      <c r="F49">
        <f t="shared" si="2"/>
        <v>0</v>
      </c>
      <c r="G49">
        <f t="shared" si="3"/>
        <v>0</v>
      </c>
      <c r="H49">
        <f t="shared" si="4"/>
        <v>0</v>
      </c>
      <c r="I49">
        <f t="shared" si="5"/>
        <v>0</v>
      </c>
      <c r="J49">
        <f t="shared" si="6"/>
        <v>0</v>
      </c>
      <c r="K49">
        <f t="shared" si="7"/>
        <v>1</v>
      </c>
      <c r="L49">
        <f t="shared" si="8"/>
        <v>0</v>
      </c>
      <c r="M49">
        <f t="shared" si="9"/>
        <v>0</v>
      </c>
      <c r="N49">
        <f t="shared" si="10"/>
        <v>0</v>
      </c>
      <c r="O49">
        <f t="shared" si="11"/>
        <v>0</v>
      </c>
      <c r="P49">
        <f t="shared" si="12"/>
        <v>0</v>
      </c>
      <c r="Q49">
        <f t="shared" si="13"/>
        <v>-1</v>
      </c>
      <c r="R49">
        <f t="shared" si="14"/>
        <v>0</v>
      </c>
      <c r="S49">
        <f t="shared" si="15"/>
        <v>0</v>
      </c>
      <c r="T49">
        <f t="shared" si="16"/>
        <v>0</v>
      </c>
      <c r="U49">
        <f t="shared" si="17"/>
        <v>0</v>
      </c>
      <c r="V49">
        <f t="shared" si="18"/>
        <v>0</v>
      </c>
      <c r="X49" t="str">
        <f t="shared" si="19"/>
        <v>nuetral</v>
      </c>
    </row>
    <row r="50" spans="1:24" ht="15">
      <c r="A50" s="9" t="s">
        <v>65</v>
      </c>
      <c r="B50" s="10" t="s">
        <v>111</v>
      </c>
      <c r="D50">
        <f t="shared" si="0"/>
        <v>0</v>
      </c>
      <c r="E50">
        <f t="shared" si="1"/>
        <v>0</v>
      </c>
      <c r="F50">
        <f t="shared" si="2"/>
        <v>0</v>
      </c>
      <c r="G50">
        <f t="shared" si="3"/>
        <v>0</v>
      </c>
      <c r="H50">
        <f t="shared" si="4"/>
        <v>0</v>
      </c>
      <c r="I50">
        <f t="shared" si="5"/>
        <v>0</v>
      </c>
      <c r="J50">
        <f t="shared" si="6"/>
        <v>0</v>
      </c>
      <c r="K50">
        <f t="shared" si="7"/>
        <v>0</v>
      </c>
      <c r="L50">
        <f t="shared" si="8"/>
        <v>0</v>
      </c>
      <c r="M50">
        <f t="shared" si="9"/>
        <v>0</v>
      </c>
      <c r="N50">
        <f t="shared" si="10"/>
        <v>0</v>
      </c>
      <c r="O50">
        <f t="shared" si="11"/>
        <v>0</v>
      </c>
      <c r="P50">
        <f t="shared" si="12"/>
        <v>0</v>
      </c>
      <c r="Q50">
        <f t="shared" si="13"/>
        <v>0</v>
      </c>
      <c r="R50">
        <f t="shared" si="14"/>
        <v>0</v>
      </c>
      <c r="S50">
        <f t="shared" si="15"/>
        <v>-1</v>
      </c>
      <c r="T50">
        <f t="shared" si="16"/>
        <v>0</v>
      </c>
      <c r="U50">
        <f t="shared" si="17"/>
        <v>0</v>
      </c>
      <c r="V50">
        <f t="shared" si="18"/>
        <v>0</v>
      </c>
      <c r="X50" t="str">
        <f t="shared" si="19"/>
        <v>negative</v>
      </c>
    </row>
    <row r="51" spans="1:24" ht="15">
      <c r="A51" s="9" t="s">
        <v>112</v>
      </c>
      <c r="B51" s="10" t="s">
        <v>113</v>
      </c>
      <c r="D51">
        <f t="shared" si="0"/>
        <v>0</v>
      </c>
      <c r="E51">
        <f t="shared" si="1"/>
        <v>1</v>
      </c>
      <c r="F51">
        <f t="shared" si="2"/>
        <v>0</v>
      </c>
      <c r="G51">
        <f t="shared" si="3"/>
        <v>0</v>
      </c>
      <c r="H51">
        <f t="shared" si="4"/>
        <v>0</v>
      </c>
      <c r="I51">
        <f t="shared" si="5"/>
        <v>0</v>
      </c>
      <c r="J51">
        <f t="shared" si="6"/>
        <v>0</v>
      </c>
      <c r="K51">
        <f t="shared" si="7"/>
        <v>0</v>
      </c>
      <c r="L51">
        <f t="shared" si="8"/>
        <v>0</v>
      </c>
      <c r="M51">
        <f t="shared" si="9"/>
        <v>0</v>
      </c>
      <c r="N51">
        <f t="shared" si="10"/>
        <v>0</v>
      </c>
      <c r="O51">
        <f t="shared" si="11"/>
        <v>0</v>
      </c>
      <c r="P51">
        <f t="shared" si="12"/>
        <v>0</v>
      </c>
      <c r="Q51">
        <f t="shared" si="13"/>
        <v>-1</v>
      </c>
      <c r="R51">
        <f t="shared" si="14"/>
        <v>-1</v>
      </c>
      <c r="S51">
        <f t="shared" si="15"/>
        <v>0</v>
      </c>
      <c r="T51">
        <f t="shared" si="16"/>
        <v>0</v>
      </c>
      <c r="U51">
        <f t="shared" si="17"/>
        <v>0</v>
      </c>
      <c r="V51">
        <f t="shared" si="18"/>
        <v>0</v>
      </c>
      <c r="X51" t="str">
        <f t="shared" si="19"/>
        <v>positive</v>
      </c>
    </row>
    <row r="52" spans="1:24" ht="15">
      <c r="A52" s="9" t="s">
        <v>114</v>
      </c>
      <c r="B52" s="10" t="s">
        <v>115</v>
      </c>
      <c r="D52">
        <f t="shared" si="0"/>
        <v>0</v>
      </c>
      <c r="E52">
        <f t="shared" si="1"/>
        <v>0</v>
      </c>
      <c r="F52">
        <f t="shared" si="2"/>
        <v>0</v>
      </c>
      <c r="G52">
        <f t="shared" si="3"/>
        <v>0</v>
      </c>
      <c r="H52">
        <f t="shared" si="4"/>
        <v>0</v>
      </c>
      <c r="I52">
        <f t="shared" si="5"/>
        <v>0</v>
      </c>
      <c r="J52">
        <f t="shared" si="6"/>
        <v>0</v>
      </c>
      <c r="K52">
        <f t="shared" si="7"/>
        <v>0</v>
      </c>
      <c r="L52">
        <f t="shared" si="8"/>
        <v>0</v>
      </c>
      <c r="M52">
        <f t="shared" si="9"/>
        <v>0</v>
      </c>
      <c r="N52">
        <f t="shared" si="10"/>
        <v>0</v>
      </c>
      <c r="O52">
        <f t="shared" si="11"/>
        <v>0</v>
      </c>
      <c r="P52">
        <f t="shared" si="12"/>
        <v>0</v>
      </c>
      <c r="Q52">
        <f t="shared" si="13"/>
        <v>-1</v>
      </c>
      <c r="R52">
        <f t="shared" si="14"/>
        <v>0</v>
      </c>
      <c r="S52">
        <f t="shared" si="15"/>
        <v>0</v>
      </c>
      <c r="T52">
        <f t="shared" si="16"/>
        <v>0</v>
      </c>
      <c r="U52">
        <f t="shared" si="17"/>
        <v>0</v>
      </c>
      <c r="V52">
        <f t="shared" si="18"/>
        <v>0</v>
      </c>
      <c r="X52" t="str">
        <f t="shared" si="19"/>
        <v>negative</v>
      </c>
    </row>
    <row r="53" spans="1:24" ht="15">
      <c r="A53" s="9" t="s">
        <v>116</v>
      </c>
      <c r="B53" s="10" t="s">
        <v>117</v>
      </c>
      <c r="D53">
        <f t="shared" si="0"/>
        <v>0</v>
      </c>
      <c r="E53">
        <f t="shared" si="1"/>
        <v>0</v>
      </c>
      <c r="F53">
        <f t="shared" si="2"/>
        <v>0</v>
      </c>
      <c r="G53">
        <f t="shared" si="3"/>
        <v>0</v>
      </c>
      <c r="H53">
        <f t="shared" si="4"/>
        <v>0</v>
      </c>
      <c r="I53">
        <f t="shared" si="5"/>
        <v>0</v>
      </c>
      <c r="J53">
        <f t="shared" si="6"/>
        <v>0</v>
      </c>
      <c r="K53">
        <f t="shared" si="7"/>
        <v>0</v>
      </c>
      <c r="L53">
        <f t="shared" si="8"/>
        <v>0</v>
      </c>
      <c r="M53">
        <f t="shared" si="9"/>
        <v>0</v>
      </c>
      <c r="N53">
        <f t="shared" si="10"/>
        <v>0</v>
      </c>
      <c r="O53">
        <f t="shared" si="11"/>
        <v>0</v>
      </c>
      <c r="P53">
        <f t="shared" si="12"/>
        <v>0</v>
      </c>
      <c r="Q53">
        <f t="shared" si="13"/>
        <v>-1</v>
      </c>
      <c r="R53">
        <f t="shared" si="14"/>
        <v>-1</v>
      </c>
      <c r="S53">
        <f t="shared" si="15"/>
        <v>0</v>
      </c>
      <c r="T53">
        <f t="shared" si="16"/>
        <v>0</v>
      </c>
      <c r="U53">
        <f t="shared" si="17"/>
        <v>0</v>
      </c>
      <c r="V53">
        <f t="shared" si="18"/>
        <v>-1</v>
      </c>
      <c r="X53" t="str">
        <f t="shared" si="19"/>
        <v>negative</v>
      </c>
    </row>
    <row r="54" spans="1:24" ht="15">
      <c r="A54" s="9" t="s">
        <v>118</v>
      </c>
      <c r="B54" s="10" t="s">
        <v>119</v>
      </c>
      <c r="D54">
        <f t="shared" si="0"/>
        <v>0</v>
      </c>
      <c r="E54">
        <f t="shared" si="1"/>
        <v>0</v>
      </c>
      <c r="F54">
        <f t="shared" si="2"/>
        <v>0</v>
      </c>
      <c r="G54">
        <f t="shared" si="3"/>
        <v>0</v>
      </c>
      <c r="H54">
        <f t="shared" si="4"/>
        <v>0</v>
      </c>
      <c r="I54">
        <f t="shared" si="5"/>
        <v>0</v>
      </c>
      <c r="J54">
        <f t="shared" si="6"/>
        <v>0</v>
      </c>
      <c r="K54">
        <f t="shared" si="7"/>
        <v>1</v>
      </c>
      <c r="L54">
        <f t="shared" si="8"/>
        <v>0</v>
      </c>
      <c r="M54">
        <f t="shared" si="9"/>
        <v>0</v>
      </c>
      <c r="N54">
        <f t="shared" si="10"/>
        <v>0</v>
      </c>
      <c r="O54">
        <f t="shared" si="11"/>
        <v>0</v>
      </c>
      <c r="P54">
        <f t="shared" si="12"/>
        <v>0</v>
      </c>
      <c r="Q54">
        <f t="shared" si="13"/>
        <v>0</v>
      </c>
      <c r="R54">
        <f t="shared" si="14"/>
        <v>0</v>
      </c>
      <c r="S54">
        <f t="shared" si="15"/>
        <v>0</v>
      </c>
      <c r="T54">
        <f t="shared" si="16"/>
        <v>0</v>
      </c>
      <c r="U54">
        <f t="shared" si="17"/>
        <v>0</v>
      </c>
      <c r="V54">
        <f t="shared" si="18"/>
        <v>-1</v>
      </c>
      <c r="X54" t="str">
        <f t="shared" si="19"/>
        <v>nuetral</v>
      </c>
    </row>
    <row r="55" spans="1:24" ht="15">
      <c r="A55" s="9" t="s">
        <v>120</v>
      </c>
      <c r="B55" s="10" t="s">
        <v>121</v>
      </c>
      <c r="D55">
        <f t="shared" si="0"/>
        <v>0</v>
      </c>
      <c r="E55">
        <f t="shared" si="1"/>
        <v>0</v>
      </c>
      <c r="F55">
        <f t="shared" si="2"/>
        <v>0</v>
      </c>
      <c r="G55">
        <f t="shared" si="3"/>
        <v>0</v>
      </c>
      <c r="H55">
        <f t="shared" si="4"/>
        <v>0</v>
      </c>
      <c r="I55">
        <f t="shared" si="5"/>
        <v>0</v>
      </c>
      <c r="J55">
        <f t="shared" si="6"/>
        <v>0</v>
      </c>
      <c r="K55">
        <f t="shared" si="7"/>
        <v>0</v>
      </c>
      <c r="L55">
        <f t="shared" si="8"/>
        <v>0</v>
      </c>
      <c r="M55">
        <f t="shared" si="9"/>
        <v>0</v>
      </c>
      <c r="N55">
        <f t="shared" si="10"/>
        <v>0</v>
      </c>
      <c r="O55">
        <f t="shared" si="11"/>
        <v>0</v>
      </c>
      <c r="P55">
        <f t="shared" si="12"/>
        <v>0</v>
      </c>
      <c r="Q55">
        <f t="shared" si="13"/>
        <v>0</v>
      </c>
      <c r="R55">
        <f t="shared" si="14"/>
        <v>0</v>
      </c>
      <c r="S55">
        <f t="shared" si="15"/>
        <v>0</v>
      </c>
      <c r="T55">
        <f t="shared" si="16"/>
        <v>-1</v>
      </c>
      <c r="U55">
        <f t="shared" si="17"/>
        <v>0</v>
      </c>
      <c r="V55">
        <f t="shared" si="18"/>
        <v>0</v>
      </c>
      <c r="X55" t="str">
        <f t="shared" si="19"/>
        <v>negative</v>
      </c>
    </row>
    <row r="56" spans="1:24" ht="15">
      <c r="A56" s="9" t="s">
        <v>122</v>
      </c>
      <c r="B56" s="10" t="s">
        <v>123</v>
      </c>
      <c r="D56">
        <f t="shared" si="0"/>
        <v>0</v>
      </c>
      <c r="E56">
        <f t="shared" si="1"/>
        <v>0</v>
      </c>
      <c r="F56">
        <f t="shared" si="2"/>
        <v>0</v>
      </c>
      <c r="G56">
        <f t="shared" si="3"/>
        <v>0</v>
      </c>
      <c r="H56">
        <f t="shared" si="4"/>
        <v>0</v>
      </c>
      <c r="I56">
        <f t="shared" si="5"/>
        <v>0</v>
      </c>
      <c r="J56">
        <f t="shared" si="6"/>
        <v>0</v>
      </c>
      <c r="K56">
        <f t="shared" si="7"/>
        <v>1</v>
      </c>
      <c r="L56">
        <f t="shared" si="8"/>
        <v>0</v>
      </c>
      <c r="M56">
        <f t="shared" si="9"/>
        <v>0</v>
      </c>
      <c r="N56">
        <f t="shared" si="10"/>
        <v>0</v>
      </c>
      <c r="O56">
        <f t="shared" si="11"/>
        <v>0</v>
      </c>
      <c r="P56">
        <f t="shared" si="12"/>
        <v>0</v>
      </c>
      <c r="Q56">
        <f t="shared" si="13"/>
        <v>-1</v>
      </c>
      <c r="R56">
        <f t="shared" si="14"/>
        <v>0</v>
      </c>
      <c r="S56">
        <f t="shared" si="15"/>
        <v>0</v>
      </c>
      <c r="T56">
        <f t="shared" si="16"/>
        <v>0</v>
      </c>
      <c r="U56">
        <f t="shared" si="17"/>
        <v>-1</v>
      </c>
      <c r="V56">
        <f t="shared" si="18"/>
        <v>0</v>
      </c>
      <c r="X56" t="str">
        <f t="shared" si="19"/>
        <v>positive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B</dc:creator>
  <cp:lastModifiedBy>srikanth B</cp:lastModifiedBy>
  <dcterms:created xsi:type="dcterms:W3CDTF">2026-05-21T17:55:35Z</dcterms:created>
  <dcterms:modified xsi:type="dcterms:W3CDTF">2026-05-21T18:00:16Z</dcterms:modified>
</cp:coreProperties>
</file>